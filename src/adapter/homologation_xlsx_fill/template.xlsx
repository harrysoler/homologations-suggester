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ivotTables/pivotTable1.xml" ContentType="application/vnd.openxmlformats-officedocument.spreadsheetml.pivotTable+xml"/>
  <Override PartName="/xl/tables/table13.xml" ContentType="application/vnd.openxmlformats-officedocument.spreadsheetml.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prof.espugicu1\Downloads\"/>
    </mc:Choice>
  </mc:AlternateContent>
  <xr:revisionPtr revIDLastSave="0" documentId="13_ncr:1_{106268A3-0AB8-4772-8E8B-FABC3C5DAC84}" xr6:coauthVersionLast="47" xr6:coauthVersionMax="47" xr10:uidLastSave="{00000000-0000-0000-0000-000000000000}"/>
  <bookViews>
    <workbookView xWindow="-120" yWindow="-120" windowWidth="29040" windowHeight="15720" xr2:uid="{1BF7D715-5737-465A-BEC6-5328BE340633}"/>
  </bookViews>
  <sheets>
    <sheet name="Plantilla General Homolog." sheetId="7" r:id="rId1"/>
    <sheet name="Datos" sheetId="4" state="hidden" r:id="rId2"/>
    <sheet name="Hoja1 (2)" sheetId="8" state="hidden" r:id="rId3"/>
    <sheet name="ft2" sheetId="5" state="hidden" r:id="rId4"/>
  </sheets>
  <definedNames>
    <definedName name="_xlnm.Print_Area" localSheetId="3">'ft2'!$C$2:$AP$43</definedName>
    <definedName name="_xlnm.Print_Area" localSheetId="0">'Plantilla General Homolog.'!$C$3:$O$76,'Plantilla General Homolog.'!$Q$3:$BD$47</definedName>
    <definedName name="_xlnm.Print_Titles" localSheetId="0">'Plantilla General Homolog.'!$3:$12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" i="8" l="1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116" i="8"/>
  <c r="I4" i="4" l="1" a="1"/>
  <c r="I4" i="4" s="1"/>
  <c r="I5" i="4" a="1"/>
  <c r="I5" i="4" s="1"/>
  <c r="I6" i="4" a="1"/>
  <c r="I6" i="4" s="1"/>
  <c r="I7" i="4" a="1"/>
  <c r="I7" i="4" s="1"/>
  <c r="I8" i="4" a="1"/>
  <c r="I8" i="4" s="1"/>
  <c r="I9" i="4" a="1"/>
  <c r="I9" i="4" s="1"/>
  <c r="I10" i="4" a="1"/>
  <c r="I10" i="4" s="1"/>
  <c r="I11" i="4" a="1"/>
  <c r="I11" i="4" s="1"/>
  <c r="I12" i="4" a="1"/>
  <c r="I12" i="4" s="1"/>
  <c r="I13" i="4" a="1"/>
  <c r="I13" i="4" s="1"/>
  <c r="I14" i="4" a="1"/>
  <c r="I14" i="4" s="1"/>
  <c r="I15" i="4" a="1"/>
  <c r="I15" i="4" s="1"/>
  <c r="I16" i="4" a="1"/>
  <c r="I16" i="4" s="1"/>
  <c r="I17" i="4" a="1"/>
  <c r="I17" i="4" s="1"/>
  <c r="I18" i="4" a="1"/>
  <c r="I18" i="4" s="1"/>
  <c r="I19" i="4" a="1"/>
  <c r="I19" i="4" s="1"/>
  <c r="I20" i="4" a="1"/>
  <c r="I20" i="4" s="1"/>
  <c r="I21" i="4" a="1"/>
  <c r="I21" i="4" s="1"/>
  <c r="I22" i="4" a="1"/>
  <c r="I22" i="4" s="1"/>
  <c r="I23" i="4" a="1"/>
  <c r="I23" i="4" s="1"/>
  <c r="I24" i="4" a="1"/>
  <c r="I24" i="4" s="1"/>
  <c r="I25" i="4" a="1"/>
  <c r="I25" i="4" s="1"/>
  <c r="I26" i="4" a="1"/>
  <c r="I26" i="4" s="1"/>
  <c r="I27" i="4" a="1"/>
  <c r="I27" i="4" s="1"/>
  <c r="I28" i="4" a="1"/>
  <c r="I28" i="4" s="1"/>
  <c r="I29" i="4" a="1"/>
  <c r="I29" i="4" s="1"/>
  <c r="I30" i="4" a="1"/>
  <c r="I30" i="4" s="1"/>
  <c r="I31" i="4" a="1"/>
  <c r="I31" i="4" s="1"/>
  <c r="I32" i="4" a="1"/>
  <c r="I32" i="4" s="1"/>
  <c r="I33" i="4" a="1"/>
  <c r="I33" i="4" s="1"/>
  <c r="I34" i="4" a="1"/>
  <c r="I34" i="4" s="1"/>
  <c r="I35" i="4" a="1"/>
  <c r="I35" i="4" s="1"/>
  <c r="I36" i="4" a="1"/>
  <c r="I36" i="4" s="1"/>
  <c r="I37" i="4" a="1"/>
  <c r="I37" i="4" s="1"/>
  <c r="I38" i="4" a="1"/>
  <c r="I38" i="4" s="1"/>
  <c r="I39" i="4" a="1"/>
  <c r="I39" i="4" s="1"/>
  <c r="I40" i="4" a="1"/>
  <c r="I40" i="4" s="1"/>
  <c r="I41" i="4" a="1"/>
  <c r="I41" i="4" s="1"/>
  <c r="I42" i="4" a="1"/>
  <c r="I42" i="4" s="1"/>
  <c r="I43" i="4" a="1"/>
  <c r="I43" i="4" s="1"/>
  <c r="I44" i="4" a="1"/>
  <c r="I44" i="4" s="1"/>
  <c r="I45" i="4" a="1"/>
  <c r="I45" i="4" s="1"/>
  <c r="I46" i="4" a="1"/>
  <c r="I46" i="4" s="1"/>
  <c r="I47" i="4" a="1"/>
  <c r="I47" i="4" s="1"/>
  <c r="I48" i="4" a="1"/>
  <c r="I48" i="4" s="1"/>
  <c r="I49" i="4" a="1"/>
  <c r="I49" i="4" s="1"/>
  <c r="I50" i="4" a="1"/>
  <c r="I50" i="4" s="1"/>
  <c r="I51" i="4" a="1"/>
  <c r="I51" i="4" s="1"/>
  <c r="I52" i="4" a="1"/>
  <c r="I52" i="4" s="1"/>
  <c r="I53" i="4" a="1"/>
  <c r="I53" i="4" s="1"/>
  <c r="I54" i="4" a="1"/>
  <c r="I54" i="4" s="1"/>
  <c r="I55" i="4" a="1"/>
  <c r="I55" i="4" s="1"/>
  <c r="I56" i="4" a="1"/>
  <c r="I56" i="4" s="1"/>
  <c r="I57" i="4" a="1"/>
  <c r="I57" i="4" s="1"/>
  <c r="I58" i="4" a="1"/>
  <c r="I58" i="4" s="1"/>
  <c r="I59" i="4" a="1"/>
  <c r="I59" i="4" s="1"/>
  <c r="I60" i="4" a="1"/>
  <c r="I60" i="4" s="1"/>
  <c r="I61" i="4" a="1"/>
  <c r="I61" i="4" s="1"/>
  <c r="I62" i="4" a="1"/>
  <c r="I62" i="4" s="1"/>
  <c r="I63" i="4" a="1"/>
  <c r="I63" i="4" s="1"/>
  <c r="I64" i="4" a="1"/>
  <c r="I64" i="4" s="1"/>
  <c r="I65" i="4" a="1"/>
  <c r="I65" i="4" s="1"/>
  <c r="I66" i="4" a="1"/>
  <c r="I66" i="4" s="1"/>
  <c r="I67" i="4" a="1"/>
  <c r="I67" i="4" s="1"/>
  <c r="I68" i="4" a="1"/>
  <c r="I68" i="4" s="1"/>
  <c r="I69" i="4" a="1"/>
  <c r="I69" i="4" s="1"/>
  <c r="I70" i="4" a="1"/>
  <c r="I70" i="4" s="1"/>
  <c r="I71" i="4" a="1"/>
  <c r="I71" i="4" s="1"/>
  <c r="I72" i="4" a="1"/>
  <c r="I72" i="4" s="1"/>
  <c r="I73" i="4" a="1"/>
  <c r="I73" i="4" s="1"/>
  <c r="I74" i="4" a="1"/>
  <c r="I74" i="4" s="1"/>
  <c r="I75" i="4" a="1"/>
  <c r="I75" i="4" s="1"/>
  <c r="I76" i="4" a="1"/>
  <c r="I76" i="4" s="1"/>
  <c r="I77" i="4" a="1"/>
  <c r="I77" i="4" s="1"/>
  <c r="I78" i="4" a="1"/>
  <c r="I78" i="4" s="1"/>
  <c r="I79" i="4" a="1"/>
  <c r="I79" i="4" s="1"/>
  <c r="I80" i="4" a="1"/>
  <c r="I80" i="4" s="1"/>
  <c r="I81" i="4" a="1"/>
  <c r="I81" i="4" s="1"/>
  <c r="I82" i="4" a="1"/>
  <c r="I82" i="4" s="1"/>
  <c r="I83" i="4" a="1"/>
  <c r="I83" i="4" s="1"/>
  <c r="I84" i="4" a="1"/>
  <c r="I84" i="4" s="1"/>
  <c r="I85" i="4" a="1"/>
  <c r="I85" i="4" s="1"/>
  <c r="I86" i="4" a="1"/>
  <c r="I86" i="4" s="1"/>
  <c r="I87" i="4" a="1"/>
  <c r="I87" i="4" s="1"/>
  <c r="I88" i="4" a="1"/>
  <c r="I88" i="4" s="1"/>
  <c r="I89" i="4" a="1"/>
  <c r="I89" i="4" s="1"/>
  <c r="I90" i="4" a="1"/>
  <c r="I90" i="4" s="1"/>
  <c r="I91" i="4" a="1"/>
  <c r="I91" i="4" s="1"/>
  <c r="I92" i="4" a="1"/>
  <c r="I92" i="4" s="1"/>
  <c r="I93" i="4" a="1"/>
  <c r="I93" i="4" s="1"/>
  <c r="I94" i="4" a="1"/>
  <c r="I94" i="4" s="1"/>
  <c r="I95" i="4" a="1"/>
  <c r="I95" i="4" s="1"/>
  <c r="I96" i="4" a="1"/>
  <c r="I96" i="4" s="1"/>
  <c r="I97" i="4" a="1"/>
  <c r="I97" i="4" s="1"/>
  <c r="I98" i="4" a="1"/>
  <c r="I98" i="4" s="1"/>
  <c r="I99" i="4" a="1"/>
  <c r="I99" i="4" s="1"/>
  <c r="I100" i="4" a="1"/>
  <c r="I100" i="4" s="1"/>
  <c r="I101" i="4" a="1"/>
  <c r="I101" i="4" s="1"/>
  <c r="I102" i="4" a="1"/>
  <c r="I102" i="4" s="1"/>
  <c r="I103" i="4" a="1"/>
  <c r="I103" i="4" s="1"/>
  <c r="I104" i="4" a="1"/>
  <c r="I104" i="4" s="1"/>
  <c r="I105" i="4" a="1"/>
  <c r="I105" i="4" s="1"/>
  <c r="I106" i="4" a="1"/>
  <c r="I106" i="4" s="1"/>
  <c r="I107" i="4" a="1"/>
  <c r="I107" i="4" s="1"/>
  <c r="I108" i="4" a="1"/>
  <c r="I108" i="4" s="1"/>
  <c r="I109" i="4" a="1"/>
  <c r="I109" i="4" s="1"/>
  <c r="I110" i="4" a="1"/>
  <c r="I110" i="4" s="1"/>
  <c r="I111" i="4" a="1"/>
  <c r="I111" i="4" s="1"/>
  <c r="I112" i="4" a="1"/>
  <c r="I112" i="4" s="1"/>
  <c r="I113" i="4" a="1"/>
  <c r="I113" i="4" s="1"/>
  <c r="I114" i="4" a="1"/>
  <c r="I114" i="4" s="1"/>
  <c r="I115" i="4" a="1"/>
  <c r="I115" i="4" s="1"/>
  <c r="I116" i="4" a="1"/>
  <c r="I116" i="4" s="1"/>
  <c r="I117" i="4" a="1"/>
  <c r="I117" i="4" s="1"/>
  <c r="I118" i="4" a="1"/>
  <c r="I118" i="4" s="1"/>
  <c r="I119" i="4" a="1"/>
  <c r="I119" i="4" s="1"/>
  <c r="I120" i="4" a="1"/>
  <c r="I120" i="4" s="1"/>
  <c r="I121" i="4" a="1"/>
  <c r="I121" i="4" s="1"/>
  <c r="I122" i="4" a="1"/>
  <c r="I122" i="4" s="1"/>
  <c r="I123" i="4" a="1"/>
  <c r="I123" i="4" s="1"/>
  <c r="I124" i="4" a="1"/>
  <c r="I124" i="4" s="1"/>
  <c r="I125" i="4" a="1"/>
  <c r="I125" i="4" s="1"/>
  <c r="I126" i="4" a="1"/>
  <c r="I126" i="4" s="1"/>
  <c r="I127" i="4" a="1"/>
  <c r="I127" i="4" s="1"/>
  <c r="I128" i="4" a="1"/>
  <c r="I128" i="4" s="1"/>
  <c r="I129" i="4" a="1"/>
  <c r="I129" i="4" s="1"/>
  <c r="I130" i="4" a="1"/>
  <c r="I130" i="4" s="1"/>
  <c r="I131" i="4" a="1"/>
  <c r="I131" i="4" s="1"/>
  <c r="I132" i="4" a="1"/>
  <c r="I132" i="4" s="1"/>
  <c r="I133" i="4" a="1"/>
  <c r="I133" i="4" s="1"/>
  <c r="I134" i="4" a="1"/>
  <c r="I134" i="4" s="1"/>
  <c r="I135" i="4" a="1"/>
  <c r="I135" i="4" s="1"/>
  <c r="I136" i="4" a="1"/>
  <c r="I136" i="4" s="1"/>
  <c r="I137" i="4" a="1"/>
  <c r="I137" i="4" s="1"/>
  <c r="I138" i="4" a="1"/>
  <c r="I138" i="4" s="1"/>
  <c r="I139" i="4" a="1"/>
  <c r="I139" i="4" s="1"/>
  <c r="I140" i="4" a="1"/>
  <c r="I140" i="4" s="1"/>
  <c r="I141" i="4" a="1"/>
  <c r="I141" i="4" s="1"/>
  <c r="I142" i="4" a="1"/>
  <c r="I142" i="4" s="1"/>
  <c r="I143" i="4" a="1"/>
  <c r="I143" i="4" s="1"/>
  <c r="I144" i="4" a="1"/>
  <c r="I144" i="4" s="1"/>
  <c r="I145" i="4" a="1"/>
  <c r="I145" i="4" s="1"/>
  <c r="I146" i="4" a="1"/>
  <c r="I146" i="4" s="1"/>
  <c r="I147" i="4" a="1"/>
  <c r="I147" i="4" s="1"/>
  <c r="I148" i="4" a="1"/>
  <c r="I148" i="4" s="1"/>
  <c r="I149" i="4" a="1"/>
  <c r="I149" i="4" s="1"/>
  <c r="I150" i="4" a="1"/>
  <c r="I150" i="4" s="1"/>
  <c r="I151" i="4" a="1"/>
  <c r="I151" i="4" s="1"/>
  <c r="I152" i="4" a="1"/>
  <c r="I152" i="4" s="1"/>
  <c r="I153" i="4" a="1"/>
  <c r="I153" i="4" s="1"/>
  <c r="I154" i="4" a="1"/>
  <c r="I154" i="4" s="1"/>
  <c r="I155" i="4" a="1"/>
  <c r="I155" i="4" s="1"/>
  <c r="I156" i="4" a="1"/>
  <c r="I156" i="4" s="1"/>
  <c r="I157" i="4" a="1"/>
  <c r="I157" i="4" s="1"/>
  <c r="I158" i="4" a="1"/>
  <c r="I158" i="4" s="1"/>
  <c r="I159" i="4" a="1"/>
  <c r="I159" i="4" s="1"/>
  <c r="I160" i="4" a="1"/>
  <c r="I160" i="4" s="1"/>
  <c r="I161" i="4" a="1"/>
  <c r="I161" i="4" s="1"/>
  <c r="I162" i="4" a="1"/>
  <c r="I162" i="4" s="1"/>
  <c r="I163" i="4" a="1"/>
  <c r="I163" i="4" s="1"/>
  <c r="I164" i="4" a="1"/>
  <c r="I164" i="4" s="1"/>
  <c r="I165" i="4" a="1"/>
  <c r="I165" i="4" s="1"/>
  <c r="I166" i="4" a="1"/>
  <c r="I166" i="4" s="1"/>
  <c r="I167" i="4" a="1"/>
  <c r="I167" i="4" s="1"/>
  <c r="I168" i="4" a="1"/>
  <c r="I168" i="4" s="1"/>
  <c r="I169" i="4" a="1"/>
  <c r="I169" i="4" s="1"/>
  <c r="I170" i="4" a="1"/>
  <c r="I170" i="4" s="1"/>
  <c r="I171" i="4" a="1"/>
  <c r="I171" i="4" s="1"/>
  <c r="I172" i="4" a="1"/>
  <c r="I172" i="4" s="1"/>
  <c r="I173" i="4" a="1"/>
  <c r="I173" i="4" s="1"/>
  <c r="I174" i="4" a="1"/>
  <c r="I174" i="4" s="1"/>
  <c r="I175" i="4" a="1"/>
  <c r="I175" i="4" s="1"/>
  <c r="I176" i="4" a="1"/>
  <c r="I176" i="4" s="1"/>
  <c r="I177" i="4" a="1"/>
  <c r="I177" i="4" s="1"/>
  <c r="I178" i="4" a="1"/>
  <c r="I178" i="4" s="1"/>
  <c r="I179" i="4" a="1"/>
  <c r="I179" i="4" s="1"/>
  <c r="I180" i="4" a="1"/>
  <c r="I180" i="4" s="1"/>
  <c r="I181" i="4" a="1"/>
  <c r="I181" i="4" s="1"/>
  <c r="I182" i="4" a="1"/>
  <c r="I182" i="4" s="1"/>
  <c r="I183" i="4" a="1"/>
  <c r="I183" i="4" s="1"/>
  <c r="I184" i="4" a="1"/>
  <c r="I184" i="4" s="1"/>
  <c r="I185" i="4" a="1"/>
  <c r="I185" i="4" s="1"/>
  <c r="I186" i="4" a="1"/>
  <c r="I186" i="4" s="1"/>
  <c r="I187" i="4" a="1"/>
  <c r="I187" i="4" s="1"/>
  <c r="I188" i="4" a="1"/>
  <c r="I188" i="4" s="1"/>
  <c r="I189" i="4" a="1"/>
  <c r="I189" i="4" s="1"/>
  <c r="I190" i="4" a="1"/>
  <c r="I190" i="4" s="1"/>
  <c r="I191" i="4" a="1"/>
  <c r="I191" i="4" s="1"/>
  <c r="I192" i="4" a="1"/>
  <c r="I192" i="4" s="1"/>
  <c r="I193" i="4" a="1"/>
  <c r="I193" i="4" s="1"/>
  <c r="I194" i="4" a="1"/>
  <c r="I194" i="4" s="1"/>
  <c r="I195" i="4" a="1"/>
  <c r="I195" i="4" s="1"/>
  <c r="I196" i="4" a="1"/>
  <c r="I196" i="4" s="1"/>
  <c r="I197" i="4" a="1"/>
  <c r="I197" i="4" s="1"/>
  <c r="I198" i="4" a="1"/>
  <c r="I198" i="4" s="1"/>
  <c r="I199" i="4" a="1"/>
  <c r="I199" i="4" s="1"/>
  <c r="I200" i="4" a="1"/>
  <c r="I200" i="4" s="1"/>
  <c r="I201" i="4" a="1"/>
  <c r="I201" i="4" s="1"/>
  <c r="I202" i="4" a="1"/>
  <c r="I202" i="4" s="1"/>
  <c r="I203" i="4" a="1"/>
  <c r="I203" i="4" s="1"/>
  <c r="I204" i="4" a="1"/>
  <c r="I204" i="4" s="1"/>
  <c r="I205" i="4" a="1"/>
  <c r="I205" i="4" s="1"/>
  <c r="I206" i="4" a="1"/>
  <c r="I206" i="4" s="1"/>
  <c r="I207" i="4" a="1"/>
  <c r="I207" i="4" s="1"/>
  <c r="I208" i="4" a="1"/>
  <c r="I208" i="4" s="1"/>
  <c r="I209" i="4" a="1"/>
  <c r="I209" i="4" s="1"/>
  <c r="I210" i="4" a="1"/>
  <c r="I210" i="4" s="1"/>
  <c r="I211" i="4" a="1"/>
  <c r="I211" i="4" s="1"/>
  <c r="I212" i="4" a="1"/>
  <c r="I212" i="4" s="1"/>
  <c r="I213" i="4" a="1"/>
  <c r="I213" i="4" s="1"/>
  <c r="I214" i="4" a="1"/>
  <c r="I214" i="4" s="1"/>
  <c r="I215" i="4" a="1"/>
  <c r="I215" i="4" s="1"/>
  <c r="I216" i="4" a="1"/>
  <c r="I216" i="4" s="1"/>
  <c r="I217" i="4" a="1"/>
  <c r="I217" i="4" s="1"/>
  <c r="I218" i="4" a="1"/>
  <c r="I218" i="4" s="1"/>
  <c r="I219" i="4" a="1"/>
  <c r="I219" i="4" s="1"/>
  <c r="I220" i="4" a="1"/>
  <c r="I220" i="4" s="1"/>
  <c r="I221" i="4" a="1"/>
  <c r="I221" i="4" s="1"/>
  <c r="I222" i="4" a="1"/>
  <c r="I222" i="4" s="1"/>
  <c r="I223" i="4" a="1"/>
  <c r="I223" i="4" s="1"/>
  <c r="I224" i="4" a="1"/>
  <c r="I224" i="4" s="1"/>
  <c r="I225" i="4" a="1"/>
  <c r="I225" i="4" s="1"/>
  <c r="I226" i="4" a="1"/>
  <c r="I226" i="4" s="1"/>
  <c r="I227" i="4" a="1"/>
  <c r="I227" i="4" s="1"/>
  <c r="I228" i="4" a="1"/>
  <c r="I228" i="4" s="1"/>
  <c r="I229" i="4" a="1"/>
  <c r="I229" i="4" s="1"/>
  <c r="I230" i="4" a="1"/>
  <c r="I230" i="4" s="1"/>
  <c r="I231" i="4" a="1"/>
  <c r="I231" i="4" s="1"/>
  <c r="I232" i="4" a="1"/>
  <c r="I232" i="4" s="1"/>
  <c r="I233" i="4" a="1"/>
  <c r="I233" i="4" s="1"/>
  <c r="I234" i="4" a="1"/>
  <c r="I234" i="4" s="1"/>
  <c r="I235" i="4" a="1"/>
  <c r="I235" i="4" s="1"/>
  <c r="I236" i="4" a="1"/>
  <c r="I236" i="4" s="1"/>
  <c r="I237" i="4" a="1"/>
  <c r="I237" i="4" s="1"/>
  <c r="I238" i="4" a="1"/>
  <c r="I238" i="4" s="1"/>
  <c r="I239" i="4" a="1"/>
  <c r="I239" i="4" s="1"/>
  <c r="I240" i="4" a="1"/>
  <c r="I240" i="4" s="1"/>
  <c r="I241" i="4" a="1"/>
  <c r="I241" i="4" s="1"/>
  <c r="I242" i="4" a="1"/>
  <c r="I242" i="4" s="1"/>
  <c r="I243" i="4" a="1"/>
  <c r="I243" i="4" s="1"/>
  <c r="I244" i="4" a="1"/>
  <c r="I244" i="4" s="1"/>
  <c r="I245" i="4" a="1"/>
  <c r="I245" i="4" s="1"/>
  <c r="I246" i="4" a="1"/>
  <c r="I246" i="4" s="1"/>
  <c r="I247" i="4" a="1"/>
  <c r="I247" i="4" s="1"/>
  <c r="I248" i="4" a="1"/>
  <c r="I248" i="4" s="1"/>
  <c r="I249" i="4" a="1"/>
  <c r="I249" i="4" s="1"/>
  <c r="I250" i="4" a="1"/>
  <c r="I250" i="4" s="1"/>
  <c r="I251" i="4" a="1"/>
  <c r="I251" i="4" s="1"/>
  <c r="I252" i="4" a="1"/>
  <c r="I252" i="4" s="1"/>
  <c r="I253" i="4" a="1"/>
  <c r="I253" i="4" s="1"/>
  <c r="I254" i="4" a="1"/>
  <c r="I254" i="4" s="1"/>
  <c r="I255" i="4" a="1"/>
  <c r="I255" i="4" s="1"/>
  <c r="I256" i="4" a="1"/>
  <c r="I256" i="4" s="1"/>
  <c r="I257" i="4" a="1"/>
  <c r="I257" i="4" s="1"/>
  <c r="I258" i="4" a="1"/>
  <c r="I258" i="4" s="1"/>
  <c r="I259" i="4" a="1"/>
  <c r="I259" i="4" s="1"/>
  <c r="I260" i="4" a="1"/>
  <c r="I260" i="4" s="1"/>
  <c r="I261" i="4" a="1"/>
  <c r="I261" i="4" s="1"/>
  <c r="I262" i="4" a="1"/>
  <c r="I262" i="4" s="1"/>
  <c r="I263" i="4" a="1"/>
  <c r="I263" i="4" s="1"/>
  <c r="I264" i="4" a="1"/>
  <c r="I264" i="4" s="1"/>
  <c r="I265" i="4" a="1"/>
  <c r="I265" i="4" s="1"/>
  <c r="I266" i="4" a="1"/>
  <c r="I266" i="4" s="1"/>
  <c r="I267" i="4" a="1"/>
  <c r="I267" i="4" s="1"/>
  <c r="I268" i="4" a="1"/>
  <c r="I268" i="4" s="1"/>
  <c r="I269" i="4" a="1"/>
  <c r="I269" i="4" s="1"/>
  <c r="I270" i="4" a="1"/>
  <c r="I270" i="4" s="1"/>
  <c r="I271" i="4" a="1"/>
  <c r="I271" i="4" s="1"/>
  <c r="I272" i="4" a="1"/>
  <c r="I272" i="4" s="1"/>
  <c r="I273" i="4" a="1"/>
  <c r="I273" i="4" s="1"/>
  <c r="I274" i="4" a="1"/>
  <c r="I274" i="4" s="1"/>
  <c r="I275" i="4" a="1"/>
  <c r="I275" i="4" s="1"/>
  <c r="I276" i="4" a="1"/>
  <c r="I276" i="4" s="1"/>
  <c r="I277" i="4" a="1"/>
  <c r="I277" i="4" s="1"/>
  <c r="I278" i="4" a="1"/>
  <c r="I278" i="4" s="1"/>
  <c r="I279" i="4" a="1"/>
  <c r="I279" i="4" s="1"/>
  <c r="I280" i="4" a="1"/>
  <c r="I280" i="4" s="1"/>
  <c r="I281" i="4" a="1"/>
  <c r="I281" i="4" s="1"/>
  <c r="I282" i="4" a="1"/>
  <c r="I282" i="4" s="1"/>
  <c r="I283" i="4" a="1"/>
  <c r="I283" i="4" s="1"/>
  <c r="I284" i="4" a="1"/>
  <c r="I284" i="4" s="1"/>
  <c r="I285" i="4" a="1"/>
  <c r="I285" i="4" s="1"/>
  <c r="I286" i="4" a="1"/>
  <c r="I286" i="4" s="1"/>
  <c r="I287" i="4" a="1"/>
  <c r="I287" i="4" s="1"/>
  <c r="I288" i="4" a="1"/>
  <c r="I288" i="4" s="1"/>
  <c r="I289" i="4" a="1"/>
  <c r="I289" i="4" s="1"/>
  <c r="I290" i="4" a="1"/>
  <c r="I290" i="4" s="1"/>
  <c r="I291" i="4" a="1"/>
  <c r="I291" i="4" s="1"/>
  <c r="I292" i="4" a="1"/>
  <c r="I292" i="4" s="1"/>
  <c r="I293" i="4" a="1"/>
  <c r="I293" i="4" s="1"/>
  <c r="I294" i="4" a="1"/>
  <c r="I294" i="4" s="1"/>
  <c r="I295" i="4" a="1"/>
  <c r="I295" i="4" s="1"/>
  <c r="I296" i="4" a="1"/>
  <c r="I296" i="4" s="1"/>
  <c r="I297" i="4" a="1"/>
  <c r="I297" i="4" s="1"/>
  <c r="I298" i="4" a="1"/>
  <c r="I298" i="4" s="1"/>
  <c r="I299" i="4" a="1"/>
  <c r="I299" i="4" s="1"/>
  <c r="I300" i="4" a="1"/>
  <c r="I300" i="4" s="1"/>
  <c r="I301" i="4" a="1"/>
  <c r="I301" i="4" s="1"/>
  <c r="I302" i="4" a="1"/>
  <c r="I302" i="4" s="1"/>
  <c r="I303" i="4" a="1"/>
  <c r="I303" i="4" s="1"/>
  <c r="I304" i="4" a="1"/>
  <c r="I304" i="4" s="1"/>
  <c r="I305" i="4" a="1"/>
  <c r="I305" i="4" s="1"/>
  <c r="I306" i="4" a="1"/>
  <c r="I306" i="4" s="1"/>
  <c r="I307" i="4" a="1"/>
  <c r="I307" i="4" s="1"/>
  <c r="I308" i="4" a="1"/>
  <c r="I308" i="4" s="1"/>
  <c r="I309" i="4" a="1"/>
  <c r="I309" i="4" s="1"/>
  <c r="I310" i="4" a="1"/>
  <c r="I310" i="4" s="1"/>
  <c r="I311" i="4" a="1"/>
  <c r="I311" i="4" s="1"/>
  <c r="I312" i="4" a="1"/>
  <c r="I312" i="4" s="1"/>
  <c r="I313" i="4" a="1"/>
  <c r="I313" i="4" s="1"/>
  <c r="I314" i="4" a="1"/>
  <c r="I314" i="4" s="1"/>
  <c r="I315" i="4" a="1"/>
  <c r="I315" i="4" s="1"/>
  <c r="I316" i="4" a="1"/>
  <c r="I316" i="4" s="1"/>
  <c r="I317" i="4" a="1"/>
  <c r="I317" i="4" s="1"/>
  <c r="I318" i="4" a="1"/>
  <c r="I318" i="4" s="1"/>
  <c r="I319" i="4" a="1"/>
  <c r="I319" i="4" s="1"/>
  <c r="I320" i="4" a="1"/>
  <c r="I320" i="4" s="1"/>
  <c r="I321" i="4" a="1"/>
  <c r="I321" i="4" s="1"/>
  <c r="I322" i="4" a="1"/>
  <c r="I322" i="4" s="1"/>
  <c r="I323" i="4" a="1"/>
  <c r="I323" i="4" s="1"/>
  <c r="I324" i="4" a="1"/>
  <c r="I324" i="4" s="1"/>
  <c r="I325" i="4" a="1"/>
  <c r="I325" i="4" s="1"/>
  <c r="I326" i="4" a="1"/>
  <c r="I326" i="4" s="1"/>
  <c r="I327" i="4" a="1"/>
  <c r="I327" i="4" s="1"/>
  <c r="I328" i="4" a="1"/>
  <c r="I328" i="4" s="1"/>
  <c r="I329" i="4" a="1"/>
  <c r="I329" i="4" s="1"/>
  <c r="I330" i="4" a="1"/>
  <c r="I330" i="4" s="1"/>
  <c r="I331" i="4" a="1"/>
  <c r="I331" i="4" s="1"/>
  <c r="I332" i="4" a="1"/>
  <c r="I332" i="4" s="1"/>
  <c r="I333" i="4" a="1"/>
  <c r="I333" i="4" s="1"/>
  <c r="I334" i="4" a="1"/>
  <c r="I334" i="4" s="1"/>
  <c r="I335" i="4" a="1"/>
  <c r="I335" i="4" s="1"/>
  <c r="I336" i="4" a="1"/>
  <c r="I336" i="4" s="1"/>
  <c r="I337" i="4" a="1"/>
  <c r="I337" i="4" s="1"/>
  <c r="I338" i="4" a="1"/>
  <c r="I338" i="4" s="1"/>
  <c r="I339" i="4" a="1"/>
  <c r="I339" i="4" s="1"/>
  <c r="I340" i="4" a="1"/>
  <c r="I340" i="4" s="1"/>
  <c r="I341" i="4" a="1"/>
  <c r="I341" i="4" s="1"/>
  <c r="I342" i="4" a="1"/>
  <c r="I342" i="4" s="1"/>
  <c r="I343" i="4" a="1"/>
  <c r="I343" i="4" s="1"/>
  <c r="I344" i="4" a="1"/>
  <c r="I344" i="4" s="1"/>
  <c r="I345" i="4" a="1"/>
  <c r="I345" i="4" s="1"/>
  <c r="I346" i="4" a="1"/>
  <c r="I346" i="4" s="1"/>
  <c r="I347" i="4" a="1"/>
  <c r="I347" i="4" s="1"/>
  <c r="I348" i="4" a="1"/>
  <c r="I348" i="4" s="1"/>
  <c r="I349" i="4" a="1"/>
  <c r="I349" i="4" s="1"/>
  <c r="I350" i="4" a="1"/>
  <c r="I350" i="4" s="1"/>
  <c r="I351" i="4" a="1"/>
  <c r="I351" i="4" s="1"/>
  <c r="I352" i="4" a="1"/>
  <c r="I352" i="4" s="1"/>
  <c r="I353" i="4" a="1"/>
  <c r="I353" i="4" s="1"/>
  <c r="I354" i="4" a="1"/>
  <c r="I354" i="4" s="1"/>
  <c r="I355" i="4" a="1"/>
  <c r="I355" i="4" s="1"/>
  <c r="I356" i="4" a="1"/>
  <c r="I356" i="4" s="1"/>
  <c r="I357" i="4" a="1"/>
  <c r="I357" i="4" s="1"/>
  <c r="I358" i="4" a="1"/>
  <c r="I358" i="4" s="1"/>
  <c r="I359" i="4" a="1"/>
  <c r="I359" i="4" s="1"/>
  <c r="I360" i="4" a="1"/>
  <c r="I360" i="4" s="1"/>
  <c r="I361" i="4" a="1"/>
  <c r="I361" i="4" s="1"/>
  <c r="I362" i="4" a="1"/>
  <c r="I362" i="4" s="1"/>
  <c r="I363" i="4" a="1"/>
  <c r="I363" i="4" s="1"/>
  <c r="I364" i="4" a="1"/>
  <c r="I364" i="4" s="1"/>
  <c r="I365" i="4" a="1"/>
  <c r="I365" i="4" s="1"/>
  <c r="I366" i="4" a="1"/>
  <c r="I366" i="4" s="1"/>
  <c r="I367" i="4" a="1"/>
  <c r="I367" i="4" s="1"/>
  <c r="I368" i="4" a="1"/>
  <c r="I368" i="4" s="1"/>
  <c r="I369" i="4" a="1"/>
  <c r="I369" i="4" s="1"/>
  <c r="I370" i="4" a="1"/>
  <c r="I370" i="4" s="1"/>
  <c r="I371" i="4" a="1"/>
  <c r="I371" i="4" s="1"/>
  <c r="I372" i="4" a="1"/>
  <c r="I372" i="4" s="1"/>
  <c r="I373" i="4" a="1"/>
  <c r="I373" i="4" s="1"/>
  <c r="I374" i="4" a="1"/>
  <c r="I374" i="4" s="1"/>
  <c r="I375" i="4" a="1"/>
  <c r="I375" i="4" s="1"/>
  <c r="I376" i="4" a="1"/>
  <c r="I376" i="4" s="1"/>
  <c r="I377" i="4" a="1"/>
  <c r="I377" i="4" s="1"/>
  <c r="I378" i="4" a="1"/>
  <c r="I378" i="4" s="1"/>
  <c r="I379" i="4" a="1"/>
  <c r="I379" i="4" s="1"/>
  <c r="I380" i="4" a="1"/>
  <c r="I380" i="4" s="1"/>
  <c r="I381" i="4" a="1"/>
  <c r="I381" i="4" s="1"/>
  <c r="I382" i="4" a="1"/>
  <c r="I382" i="4" s="1"/>
  <c r="I383" i="4" a="1"/>
  <c r="I383" i="4" s="1"/>
  <c r="I384" i="4" a="1"/>
  <c r="I384" i="4" s="1"/>
  <c r="I385" i="4" a="1"/>
  <c r="I385" i="4" s="1"/>
  <c r="I386" i="4" a="1"/>
  <c r="I386" i="4" s="1"/>
  <c r="I387" i="4" a="1"/>
  <c r="I387" i="4" s="1"/>
  <c r="I388" i="4" a="1"/>
  <c r="I388" i="4" s="1"/>
  <c r="I389" i="4" a="1"/>
  <c r="I389" i="4" s="1"/>
  <c r="I390" i="4" a="1"/>
  <c r="I390" i="4" s="1"/>
  <c r="I391" i="4" a="1"/>
  <c r="I391" i="4" s="1"/>
  <c r="I392" i="4" a="1"/>
  <c r="I392" i="4" s="1"/>
  <c r="I393" i="4" a="1"/>
  <c r="I393" i="4" s="1"/>
  <c r="I394" i="4" a="1"/>
  <c r="I394" i="4" s="1"/>
  <c r="I395" i="4" a="1"/>
  <c r="I395" i="4" s="1"/>
  <c r="I396" i="4" a="1"/>
  <c r="I396" i="4" s="1"/>
  <c r="I397" i="4" a="1"/>
  <c r="I397" i="4" s="1"/>
  <c r="I398" i="4" a="1"/>
  <c r="I398" i="4" s="1"/>
  <c r="I399" i="4" a="1"/>
  <c r="I399" i="4" s="1"/>
  <c r="I400" i="4" a="1"/>
  <c r="I400" i="4" s="1"/>
  <c r="I401" i="4" a="1"/>
  <c r="I401" i="4" s="1"/>
  <c r="I402" i="4" a="1"/>
  <c r="I402" i="4" s="1"/>
  <c r="I403" i="4" a="1"/>
  <c r="I403" i="4" s="1"/>
  <c r="I404" i="4" a="1"/>
  <c r="I404" i="4" s="1"/>
  <c r="I405" i="4" a="1"/>
  <c r="I405" i="4" s="1"/>
  <c r="I406" i="4" a="1"/>
  <c r="I406" i="4" s="1"/>
  <c r="I407" i="4" a="1"/>
  <c r="I407" i="4" s="1"/>
  <c r="I408" i="4" a="1"/>
  <c r="I408" i="4" s="1"/>
  <c r="I409" i="4" a="1"/>
  <c r="I409" i="4" s="1"/>
  <c r="I410" i="4" a="1"/>
  <c r="I410" i="4" s="1"/>
  <c r="I411" i="4" a="1"/>
  <c r="I411" i="4" s="1"/>
  <c r="I412" i="4" a="1"/>
  <c r="I412" i="4" s="1"/>
  <c r="I413" i="4" a="1"/>
  <c r="I413" i="4" s="1"/>
  <c r="I414" i="4" a="1"/>
  <c r="I414" i="4" s="1"/>
  <c r="I415" i="4" a="1"/>
  <c r="I415" i="4" s="1"/>
  <c r="I416" i="4" a="1"/>
  <c r="I416" i="4" s="1"/>
  <c r="I417" i="4" a="1"/>
  <c r="I417" i="4" s="1"/>
  <c r="I418" i="4" a="1"/>
  <c r="I418" i="4" s="1"/>
  <c r="I419" i="4" a="1"/>
  <c r="I419" i="4" s="1"/>
  <c r="I420" i="4" a="1"/>
  <c r="I420" i="4" s="1"/>
  <c r="I421" i="4" a="1"/>
  <c r="I421" i="4" s="1"/>
  <c r="I422" i="4" a="1"/>
  <c r="I422" i="4" s="1"/>
  <c r="I423" i="4" a="1"/>
  <c r="I423" i="4" s="1"/>
  <c r="I424" i="4" a="1"/>
  <c r="I424" i="4" s="1"/>
  <c r="I425" i="4" a="1"/>
  <c r="I425" i="4" s="1"/>
  <c r="I426" i="4" a="1"/>
  <c r="I426" i="4" s="1"/>
  <c r="I427" i="4" a="1"/>
  <c r="I427" i="4" s="1"/>
  <c r="I428" i="4" a="1"/>
  <c r="I428" i="4" s="1"/>
  <c r="I429" i="4" a="1"/>
  <c r="I429" i="4" s="1"/>
  <c r="I430" i="4" a="1"/>
  <c r="I430" i="4" s="1"/>
  <c r="I431" i="4" a="1"/>
  <c r="I431" i="4" s="1"/>
  <c r="I432" i="4" a="1"/>
  <c r="I432" i="4" s="1"/>
  <c r="I433" i="4" a="1"/>
  <c r="I433" i="4" s="1"/>
  <c r="I434" i="4" a="1"/>
  <c r="I434" i="4" s="1"/>
  <c r="I435" i="4" a="1"/>
  <c r="I435" i="4" s="1"/>
  <c r="I436" i="4" a="1"/>
  <c r="I436" i="4" s="1"/>
  <c r="I437" i="4" a="1"/>
  <c r="I437" i="4" s="1"/>
  <c r="I438" i="4" a="1"/>
  <c r="I438" i="4" s="1"/>
  <c r="I439" i="4" a="1"/>
  <c r="I439" i="4" s="1"/>
  <c r="I440" i="4" a="1"/>
  <c r="I440" i="4" s="1"/>
  <c r="I441" i="4" a="1"/>
  <c r="I441" i="4" s="1"/>
  <c r="I442" i="4" a="1"/>
  <c r="I442" i="4" s="1"/>
  <c r="I443" i="4" a="1"/>
  <c r="I443" i="4" s="1"/>
  <c r="I444" i="4" a="1"/>
  <c r="I444" i="4" s="1"/>
  <c r="I445" i="4" a="1"/>
  <c r="I445" i="4" s="1"/>
  <c r="I446" i="4" a="1"/>
  <c r="I446" i="4" s="1"/>
  <c r="I447" i="4" a="1"/>
  <c r="I447" i="4" s="1"/>
  <c r="I448" i="4" a="1"/>
  <c r="I448" i="4" s="1"/>
  <c r="I449" i="4" a="1"/>
  <c r="I449" i="4" s="1"/>
  <c r="I450" i="4" a="1"/>
  <c r="I450" i="4" s="1"/>
  <c r="I451" i="4" a="1"/>
  <c r="I451" i="4" s="1"/>
  <c r="I452" i="4" a="1"/>
  <c r="I452" i="4" s="1"/>
  <c r="I453" i="4" a="1"/>
  <c r="I453" i="4" s="1"/>
  <c r="I454" i="4" a="1"/>
  <c r="I454" i="4" s="1"/>
  <c r="I455" i="4" a="1"/>
  <c r="I455" i="4" s="1"/>
  <c r="I456" i="4" a="1"/>
  <c r="I456" i="4" s="1"/>
  <c r="I457" i="4" a="1"/>
  <c r="I457" i="4" s="1"/>
  <c r="I458" i="4" a="1"/>
  <c r="I458" i="4" s="1"/>
  <c r="I459" i="4" a="1"/>
  <c r="I459" i="4" s="1"/>
  <c r="I460" i="4" a="1"/>
  <c r="I460" i="4" s="1"/>
  <c r="I461" i="4" a="1"/>
  <c r="I461" i="4" s="1"/>
  <c r="I462" i="4" a="1"/>
  <c r="I462" i="4" s="1"/>
  <c r="I463" i="4" a="1"/>
  <c r="I463" i="4" s="1"/>
  <c r="I464" i="4" a="1"/>
  <c r="I464" i="4" s="1"/>
  <c r="I465" i="4" a="1"/>
  <c r="I465" i="4" s="1"/>
  <c r="I466" i="4" a="1"/>
  <c r="I466" i="4" s="1"/>
  <c r="I467" i="4" a="1"/>
  <c r="I467" i="4" s="1"/>
  <c r="I468" i="4" a="1"/>
  <c r="I468" i="4" s="1"/>
  <c r="I469" i="4" a="1"/>
  <c r="I469" i="4" s="1"/>
  <c r="I470" i="4" a="1"/>
  <c r="I470" i="4" s="1"/>
  <c r="I471" i="4" a="1"/>
  <c r="I471" i="4" s="1"/>
  <c r="I472" i="4" a="1"/>
  <c r="I472" i="4" s="1"/>
  <c r="I473" i="4" a="1"/>
  <c r="I473" i="4" s="1"/>
  <c r="I474" i="4" a="1"/>
  <c r="I474" i="4" s="1"/>
  <c r="I475" i="4" a="1"/>
  <c r="I475" i="4" s="1"/>
  <c r="I476" i="4" a="1"/>
  <c r="I476" i="4" s="1"/>
  <c r="I477" i="4" a="1"/>
  <c r="I477" i="4" s="1"/>
  <c r="I478" i="4" a="1"/>
  <c r="I478" i="4" s="1"/>
  <c r="I479" i="4" a="1"/>
  <c r="I479" i="4" s="1"/>
  <c r="I480" i="4" a="1"/>
  <c r="I480" i="4" s="1"/>
  <c r="I481" i="4" a="1"/>
  <c r="I481" i="4" s="1"/>
  <c r="I482" i="4" a="1"/>
  <c r="I482" i="4" s="1"/>
  <c r="I483" i="4" a="1"/>
  <c r="I483" i="4" s="1"/>
  <c r="I484" i="4" a="1"/>
  <c r="I484" i="4" s="1"/>
  <c r="I485" i="4" a="1"/>
  <c r="I485" i="4" s="1"/>
  <c r="I486" i="4" a="1"/>
  <c r="I486" i="4" s="1"/>
  <c r="I487" i="4" a="1"/>
  <c r="I487" i="4" s="1"/>
  <c r="I488" i="4" a="1"/>
  <c r="I488" i="4" s="1"/>
  <c r="I489" i="4" a="1"/>
  <c r="I489" i="4" s="1"/>
  <c r="I490" i="4" a="1"/>
  <c r="I490" i="4" s="1"/>
  <c r="I491" i="4" a="1"/>
  <c r="I491" i="4" s="1"/>
  <c r="I492" i="4" a="1"/>
  <c r="I492" i="4" s="1"/>
  <c r="I493" i="4" a="1"/>
  <c r="I493" i="4" s="1"/>
  <c r="I494" i="4" a="1"/>
  <c r="I494" i="4" s="1"/>
  <c r="I495" i="4" a="1"/>
  <c r="I495" i="4" s="1"/>
  <c r="I496" i="4" a="1"/>
  <c r="I496" i="4" s="1"/>
  <c r="I497" i="4" a="1"/>
  <c r="I497" i="4" s="1"/>
  <c r="I498" i="4" a="1"/>
  <c r="I498" i="4" s="1"/>
  <c r="I499" i="4" a="1"/>
  <c r="I499" i="4" s="1"/>
  <c r="I500" i="4" a="1"/>
  <c r="I500" i="4" s="1"/>
  <c r="I501" i="4" a="1"/>
  <c r="I501" i="4" s="1"/>
  <c r="I502" i="4" a="1"/>
  <c r="I502" i="4" s="1"/>
  <c r="I503" i="4" a="1"/>
  <c r="I503" i="4" s="1"/>
  <c r="I504" i="4" a="1"/>
  <c r="I504" i="4" s="1"/>
  <c r="I505" i="4" a="1"/>
  <c r="I505" i="4" s="1"/>
  <c r="I506" i="4" a="1"/>
  <c r="I506" i="4" s="1"/>
  <c r="I507" i="4" a="1"/>
  <c r="I507" i="4" s="1"/>
  <c r="I508" i="4" a="1"/>
  <c r="I508" i="4" s="1"/>
  <c r="I509" i="4" a="1"/>
  <c r="I509" i="4" s="1"/>
  <c r="I510" i="4" a="1"/>
  <c r="I510" i="4" s="1"/>
  <c r="I511" i="4" a="1"/>
  <c r="I511" i="4" s="1"/>
  <c r="I512" i="4" a="1"/>
  <c r="I512" i="4" s="1"/>
  <c r="I513" i="4" a="1"/>
  <c r="I513" i="4" s="1"/>
  <c r="I514" i="4" a="1"/>
  <c r="I514" i="4" s="1"/>
  <c r="I515" i="4" a="1"/>
  <c r="I515" i="4" s="1"/>
  <c r="I516" i="4" a="1"/>
  <c r="I516" i="4" s="1"/>
  <c r="I517" i="4" a="1"/>
  <c r="I517" i="4" s="1"/>
  <c r="I518" i="4" a="1"/>
  <c r="I518" i="4" s="1"/>
  <c r="I519" i="4" a="1"/>
  <c r="I519" i="4" s="1"/>
  <c r="I520" i="4" a="1"/>
  <c r="I520" i="4" s="1"/>
  <c r="I521" i="4" a="1"/>
  <c r="I521" i="4" s="1"/>
  <c r="I522" i="4" a="1"/>
  <c r="I522" i="4" s="1"/>
  <c r="I523" i="4" a="1"/>
  <c r="I523" i="4" s="1"/>
  <c r="I524" i="4" a="1"/>
  <c r="I524" i="4" s="1"/>
  <c r="I525" i="4" a="1"/>
  <c r="I525" i="4" s="1"/>
  <c r="I526" i="4" a="1"/>
  <c r="I526" i="4" s="1"/>
  <c r="I527" i="4" a="1"/>
  <c r="I527" i="4" s="1"/>
  <c r="I528" i="4" a="1"/>
  <c r="I528" i="4" s="1"/>
  <c r="I529" i="4" a="1"/>
  <c r="I529" i="4" s="1"/>
  <c r="I530" i="4" a="1"/>
  <c r="I530" i="4" s="1"/>
  <c r="I531" i="4" a="1"/>
  <c r="I531" i="4" s="1"/>
  <c r="I532" i="4" a="1"/>
  <c r="I532" i="4" s="1"/>
  <c r="I533" i="4" a="1"/>
  <c r="I533" i="4" s="1"/>
  <c r="I534" i="4" a="1"/>
  <c r="I534" i="4" s="1"/>
  <c r="I535" i="4" a="1"/>
  <c r="I535" i="4" s="1"/>
  <c r="I536" i="4" a="1"/>
  <c r="I536" i="4" s="1"/>
  <c r="I537" i="4" a="1"/>
  <c r="I537" i="4" s="1"/>
  <c r="I538" i="4" a="1"/>
  <c r="I538" i="4" s="1"/>
  <c r="I539" i="4" a="1"/>
  <c r="I539" i="4" s="1"/>
  <c r="I540" i="4" a="1"/>
  <c r="I540" i="4" s="1"/>
  <c r="I541" i="4" a="1"/>
  <c r="I541" i="4" s="1"/>
  <c r="I542" i="4" a="1"/>
  <c r="I542" i="4" s="1"/>
  <c r="I543" i="4" a="1"/>
  <c r="I543" i="4" s="1"/>
  <c r="I544" i="4" a="1"/>
  <c r="I544" i="4" s="1"/>
  <c r="I545" i="4" a="1"/>
  <c r="I545" i="4" s="1"/>
  <c r="I546" i="4" a="1"/>
  <c r="I546" i="4" s="1"/>
  <c r="I547" i="4" a="1"/>
  <c r="I547" i="4" s="1"/>
  <c r="I548" i="4" a="1"/>
  <c r="I548" i="4" s="1"/>
  <c r="I549" i="4" a="1"/>
  <c r="I549" i="4" s="1"/>
  <c r="I550" i="4" a="1"/>
  <c r="I550" i="4" s="1"/>
  <c r="I551" i="4" a="1"/>
  <c r="I551" i="4" s="1"/>
  <c r="I552" i="4" a="1"/>
  <c r="I552" i="4" s="1"/>
  <c r="I553" i="4" a="1"/>
  <c r="I553" i="4" s="1"/>
  <c r="I554" i="4" a="1"/>
  <c r="I554" i="4" s="1"/>
  <c r="I555" i="4" a="1"/>
  <c r="I555" i="4" s="1"/>
  <c r="I556" i="4" a="1"/>
  <c r="I556" i="4" s="1"/>
  <c r="I557" i="4" a="1"/>
  <c r="I557" i="4" s="1"/>
  <c r="I558" i="4" a="1"/>
  <c r="I558" i="4" s="1"/>
  <c r="I559" i="4" a="1"/>
  <c r="I559" i="4" s="1"/>
  <c r="I560" i="4" a="1"/>
  <c r="I560" i="4" s="1"/>
  <c r="I561" i="4" a="1"/>
  <c r="I561" i="4" s="1"/>
  <c r="I562" i="4" a="1"/>
  <c r="I562" i="4" s="1"/>
  <c r="I563" i="4" a="1"/>
  <c r="I563" i="4" s="1"/>
  <c r="I564" i="4" a="1"/>
  <c r="I564" i="4" s="1"/>
  <c r="I565" i="4" a="1"/>
  <c r="I565" i="4" s="1"/>
  <c r="I566" i="4" a="1"/>
  <c r="I566" i="4" s="1"/>
  <c r="I567" i="4" a="1"/>
  <c r="I567" i="4" s="1"/>
  <c r="I568" i="4" a="1"/>
  <c r="I568" i="4" s="1"/>
  <c r="I569" i="4" a="1"/>
  <c r="I569" i="4" s="1"/>
  <c r="I570" i="4" a="1"/>
  <c r="I570" i="4" s="1"/>
  <c r="I571" i="4" a="1"/>
  <c r="I571" i="4" s="1"/>
  <c r="I572" i="4" a="1"/>
  <c r="I572" i="4" s="1"/>
  <c r="I573" i="4" a="1"/>
  <c r="I573" i="4" s="1"/>
  <c r="I574" i="4" a="1"/>
  <c r="I574" i="4" s="1"/>
  <c r="I575" i="4" a="1"/>
  <c r="I575" i="4" s="1"/>
  <c r="I576" i="4" a="1"/>
  <c r="I576" i="4" s="1"/>
  <c r="I577" i="4" a="1"/>
  <c r="I577" i="4" s="1"/>
  <c r="I578" i="4" a="1"/>
  <c r="I578" i="4" s="1"/>
  <c r="I579" i="4" a="1"/>
  <c r="I579" i="4" s="1"/>
  <c r="I580" i="4" a="1"/>
  <c r="I580" i="4" s="1"/>
  <c r="I581" i="4" a="1"/>
  <c r="I581" i="4" s="1"/>
  <c r="I582" i="4" a="1"/>
  <c r="I582" i="4" s="1"/>
  <c r="I583" i="4" a="1"/>
  <c r="I583" i="4" s="1"/>
  <c r="I584" i="4" a="1"/>
  <c r="I584" i="4" s="1"/>
  <c r="I585" i="4" a="1"/>
  <c r="I585" i="4" s="1"/>
  <c r="I586" i="4" a="1"/>
  <c r="I586" i="4" s="1"/>
  <c r="I587" i="4" a="1"/>
  <c r="I587" i="4" s="1"/>
  <c r="I588" i="4" a="1"/>
  <c r="I588" i="4" s="1"/>
  <c r="I589" i="4" a="1"/>
  <c r="I589" i="4" s="1"/>
  <c r="I590" i="4" a="1"/>
  <c r="I590" i="4" s="1"/>
  <c r="I591" i="4" a="1"/>
  <c r="I591" i="4" s="1"/>
  <c r="I592" i="4" a="1"/>
  <c r="I592" i="4" s="1"/>
  <c r="I593" i="4" a="1"/>
  <c r="I593" i="4" s="1"/>
  <c r="I594" i="4" a="1"/>
  <c r="I594" i="4" s="1"/>
  <c r="I595" i="4" a="1"/>
  <c r="I595" i="4" s="1"/>
  <c r="I596" i="4" a="1"/>
  <c r="I596" i="4" s="1"/>
  <c r="I597" i="4" a="1"/>
  <c r="I597" i="4" s="1"/>
  <c r="I598" i="4" a="1"/>
  <c r="I598" i="4" s="1"/>
  <c r="I599" i="4" a="1"/>
  <c r="I599" i="4" s="1"/>
  <c r="I600" i="4" a="1"/>
  <c r="I600" i="4" s="1"/>
  <c r="I601" i="4" a="1"/>
  <c r="I601" i="4" s="1"/>
  <c r="I602" i="4" a="1"/>
  <c r="I602" i="4" s="1"/>
  <c r="I603" i="4" a="1"/>
  <c r="I603" i="4" s="1"/>
  <c r="I604" i="4" a="1"/>
  <c r="I604" i="4" s="1"/>
  <c r="I605" i="4" a="1"/>
  <c r="I605" i="4" s="1"/>
  <c r="I606" i="4" a="1"/>
  <c r="I606" i="4" s="1"/>
  <c r="I607" i="4" a="1"/>
  <c r="I607" i="4" s="1"/>
  <c r="I608" i="4" a="1"/>
  <c r="I608" i="4" s="1"/>
  <c r="I609" i="4" a="1"/>
  <c r="I609" i="4" s="1"/>
  <c r="I610" i="4" a="1"/>
  <c r="I610" i="4" s="1"/>
  <c r="I611" i="4" a="1"/>
  <c r="I611" i="4" s="1"/>
  <c r="I612" i="4" a="1"/>
  <c r="I612" i="4" s="1"/>
  <c r="I613" i="4" a="1"/>
  <c r="I613" i="4" s="1"/>
  <c r="I614" i="4" a="1"/>
  <c r="I614" i="4" s="1"/>
  <c r="I615" i="4" a="1"/>
  <c r="I615" i="4" s="1"/>
  <c r="I616" i="4" a="1"/>
  <c r="I616" i="4" s="1"/>
  <c r="I617" i="4" a="1"/>
  <c r="I617" i="4" s="1"/>
  <c r="I618" i="4" a="1"/>
  <c r="I618" i="4" s="1"/>
  <c r="I619" i="4" a="1"/>
  <c r="I619" i="4" s="1"/>
  <c r="I620" i="4" a="1"/>
  <c r="I620" i="4" s="1"/>
  <c r="I621" i="4" a="1"/>
  <c r="I621" i="4" s="1"/>
  <c r="I622" i="4" a="1"/>
  <c r="I622" i="4" s="1"/>
  <c r="I623" i="4" a="1"/>
  <c r="I623" i="4" s="1"/>
  <c r="I624" i="4" a="1"/>
  <c r="I624" i="4" s="1"/>
  <c r="I625" i="4" a="1"/>
  <c r="I625" i="4" s="1"/>
  <c r="I626" i="4" a="1"/>
  <c r="I626" i="4" s="1"/>
  <c r="I627" i="4" a="1"/>
  <c r="I627" i="4" s="1"/>
  <c r="I628" i="4" a="1"/>
  <c r="I628" i="4" s="1"/>
  <c r="I629" i="4" a="1"/>
  <c r="I629" i="4" s="1"/>
  <c r="I630" i="4" a="1"/>
  <c r="I630" i="4" s="1"/>
  <c r="I631" i="4" a="1"/>
  <c r="I631" i="4" s="1"/>
  <c r="I632" i="4" a="1"/>
  <c r="I632" i="4" s="1"/>
  <c r="I633" i="4" a="1"/>
  <c r="I633" i="4" s="1"/>
  <c r="I634" i="4" a="1"/>
  <c r="I634" i="4" s="1"/>
  <c r="I635" i="4" a="1"/>
  <c r="I635" i="4" s="1"/>
  <c r="I636" i="4" a="1"/>
  <c r="I636" i="4" s="1"/>
  <c r="I637" i="4" a="1"/>
  <c r="I637" i="4" s="1"/>
  <c r="I638" i="4" a="1"/>
  <c r="I638" i="4" s="1"/>
  <c r="I639" i="4" a="1"/>
  <c r="I639" i="4" s="1"/>
  <c r="I640" i="4" a="1"/>
  <c r="I640" i="4" s="1"/>
  <c r="I641" i="4" a="1"/>
  <c r="I641" i="4" s="1"/>
  <c r="I642" i="4" a="1"/>
  <c r="I642" i="4" s="1"/>
  <c r="I643" i="4" a="1"/>
  <c r="I643" i="4" s="1"/>
  <c r="I644" i="4" a="1"/>
  <c r="I644" i="4" s="1"/>
  <c r="I645" i="4" a="1"/>
  <c r="I645" i="4" s="1"/>
  <c r="I646" i="4" a="1"/>
  <c r="I646" i="4" s="1"/>
  <c r="I647" i="4" a="1"/>
  <c r="I647" i="4" s="1"/>
  <c r="I648" i="4" a="1"/>
  <c r="I648" i="4" s="1"/>
  <c r="I649" i="4" a="1"/>
  <c r="I649" i="4" s="1"/>
  <c r="I650" i="4" a="1"/>
  <c r="I650" i="4" s="1"/>
  <c r="I651" i="4" a="1"/>
  <c r="I651" i="4" s="1"/>
  <c r="I652" i="4" a="1"/>
  <c r="I652" i="4" s="1"/>
  <c r="I653" i="4" a="1"/>
  <c r="I653" i="4" s="1"/>
  <c r="I654" i="4" a="1"/>
  <c r="I654" i="4" s="1"/>
  <c r="I655" i="4" a="1"/>
  <c r="I655" i="4" s="1"/>
  <c r="I656" i="4" a="1"/>
  <c r="I656" i="4" s="1"/>
  <c r="I657" i="4" a="1"/>
  <c r="I657" i="4" s="1"/>
  <c r="I658" i="4" a="1"/>
  <c r="I658" i="4" s="1"/>
  <c r="I659" i="4" a="1"/>
  <c r="I659" i="4" s="1"/>
  <c r="I660" i="4" a="1"/>
  <c r="I660" i="4" s="1"/>
  <c r="I661" i="4" a="1"/>
  <c r="I661" i="4" s="1"/>
  <c r="I662" i="4" a="1"/>
  <c r="I662" i="4" s="1"/>
  <c r="I663" i="4" a="1"/>
  <c r="I663" i="4" s="1"/>
  <c r="I664" i="4" a="1"/>
  <c r="I664" i="4" s="1"/>
  <c r="I665" i="4" a="1"/>
  <c r="I665" i="4" s="1"/>
  <c r="I666" i="4" a="1"/>
  <c r="I666" i="4" s="1"/>
  <c r="I667" i="4" a="1"/>
  <c r="I667" i="4" s="1"/>
  <c r="I668" i="4" a="1"/>
  <c r="I668" i="4" s="1"/>
  <c r="I669" i="4" a="1"/>
  <c r="I669" i="4" s="1"/>
  <c r="I670" i="4" a="1"/>
  <c r="I670" i="4" s="1"/>
  <c r="I671" i="4" a="1"/>
  <c r="I671" i="4" s="1"/>
  <c r="I672" i="4" a="1"/>
  <c r="I672" i="4" s="1"/>
  <c r="I673" i="4" a="1"/>
  <c r="I673" i="4" s="1"/>
  <c r="I674" i="4" a="1"/>
  <c r="I674" i="4" s="1"/>
  <c r="I675" i="4" a="1"/>
  <c r="I675" i="4" s="1"/>
  <c r="I676" i="4" a="1"/>
  <c r="I676" i="4" s="1"/>
  <c r="I677" i="4" a="1"/>
  <c r="I677" i="4" s="1"/>
  <c r="I678" i="4" a="1"/>
  <c r="I678" i="4" s="1"/>
  <c r="I679" i="4" a="1"/>
  <c r="I679" i="4" s="1"/>
  <c r="I680" i="4" a="1"/>
  <c r="I680" i="4" s="1"/>
  <c r="I681" i="4" a="1"/>
  <c r="I681" i="4" s="1"/>
  <c r="I682" i="4" a="1"/>
  <c r="I682" i="4" s="1"/>
  <c r="I683" i="4" a="1"/>
  <c r="I683" i="4" s="1"/>
  <c r="I684" i="4" a="1"/>
  <c r="I684" i="4" s="1"/>
  <c r="I685" i="4" a="1"/>
  <c r="I685" i="4" s="1"/>
  <c r="I686" i="4" a="1"/>
  <c r="I686" i="4" s="1"/>
  <c r="I687" i="4" a="1"/>
  <c r="I687" i="4" s="1"/>
  <c r="I688" i="4" a="1"/>
  <c r="I688" i="4" s="1"/>
  <c r="I689" i="4" a="1"/>
  <c r="I689" i="4" s="1"/>
  <c r="I690" i="4" a="1"/>
  <c r="I690" i="4" s="1"/>
  <c r="I691" i="4" a="1"/>
  <c r="I691" i="4" s="1"/>
  <c r="I692" i="4" a="1"/>
  <c r="I692" i="4" s="1"/>
  <c r="I693" i="4" a="1"/>
  <c r="I693" i="4" s="1"/>
  <c r="I694" i="4" a="1"/>
  <c r="I694" i="4" s="1"/>
  <c r="I695" i="4" a="1"/>
  <c r="I695" i="4" s="1"/>
  <c r="I696" i="4" a="1"/>
  <c r="I696" i="4" s="1"/>
  <c r="I697" i="4" a="1"/>
  <c r="I697" i="4" s="1"/>
  <c r="I698" i="4" a="1"/>
  <c r="I698" i="4" s="1"/>
  <c r="I699" i="4" a="1"/>
  <c r="I699" i="4" s="1"/>
  <c r="I700" i="4" a="1"/>
  <c r="I700" i="4" s="1"/>
  <c r="I701" i="4" a="1"/>
  <c r="I701" i="4" s="1"/>
  <c r="I702" i="4" a="1"/>
  <c r="I702" i="4" s="1"/>
  <c r="I703" i="4" a="1"/>
  <c r="I703" i="4" s="1"/>
  <c r="I704" i="4" a="1"/>
  <c r="I704" i="4" s="1"/>
  <c r="I705" i="4" a="1"/>
  <c r="I705" i="4" s="1"/>
  <c r="I706" i="4" a="1"/>
  <c r="I706" i="4" s="1"/>
  <c r="I707" i="4" a="1"/>
  <c r="I707" i="4" s="1"/>
  <c r="I708" i="4" a="1"/>
  <c r="I708" i="4" s="1"/>
  <c r="I709" i="4" a="1"/>
  <c r="I709" i="4" s="1"/>
  <c r="I710" i="4" a="1"/>
  <c r="I710" i="4" s="1"/>
  <c r="I711" i="4" a="1"/>
  <c r="I711" i="4" s="1"/>
  <c r="I712" i="4" a="1"/>
  <c r="I712" i="4" s="1"/>
  <c r="I713" i="4" a="1"/>
  <c r="I713" i="4" s="1"/>
  <c r="I714" i="4" a="1"/>
  <c r="I714" i="4" s="1"/>
  <c r="I715" i="4" a="1"/>
  <c r="I715" i="4" s="1"/>
  <c r="I716" i="4" a="1"/>
  <c r="I716" i="4" s="1"/>
  <c r="I717" i="4" a="1"/>
  <c r="I717" i="4" s="1"/>
  <c r="I718" i="4" a="1"/>
  <c r="I718" i="4" s="1"/>
  <c r="I719" i="4" a="1"/>
  <c r="I719" i="4" s="1"/>
  <c r="I720" i="4" a="1"/>
  <c r="I720" i="4" s="1"/>
  <c r="I721" i="4" a="1"/>
  <c r="I721" i="4" s="1"/>
  <c r="I722" i="4" a="1"/>
  <c r="I722" i="4" s="1"/>
  <c r="I723" i="4" a="1"/>
  <c r="I723" i="4" s="1"/>
  <c r="I724" i="4" a="1"/>
  <c r="I724" i="4" s="1"/>
  <c r="I725" i="4" a="1"/>
  <c r="I725" i="4" s="1"/>
  <c r="I726" i="4" a="1"/>
  <c r="I726" i="4" s="1"/>
  <c r="I727" i="4" a="1"/>
  <c r="I727" i="4" s="1"/>
  <c r="I728" i="4" a="1"/>
  <c r="I728" i="4" s="1"/>
  <c r="I729" i="4" a="1"/>
  <c r="I729" i="4" s="1"/>
  <c r="I730" i="4" a="1"/>
  <c r="I730" i="4" s="1"/>
  <c r="I731" i="4" a="1"/>
  <c r="I731" i="4" s="1"/>
  <c r="I732" i="4" a="1"/>
  <c r="I732" i="4" s="1"/>
  <c r="I733" i="4" a="1"/>
  <c r="I733" i="4" s="1"/>
  <c r="I734" i="4" a="1"/>
  <c r="I734" i="4" s="1"/>
  <c r="I735" i="4" a="1"/>
  <c r="I735" i="4" s="1"/>
  <c r="I736" i="4" a="1"/>
  <c r="I736" i="4" s="1"/>
  <c r="I737" i="4" a="1"/>
  <c r="I737" i="4" s="1"/>
  <c r="I738" i="4" a="1"/>
  <c r="I738" i="4" s="1"/>
  <c r="I739" i="4" a="1"/>
  <c r="I739" i="4" s="1"/>
  <c r="I740" i="4" a="1"/>
  <c r="I740" i="4" s="1"/>
  <c r="I741" i="4" a="1"/>
  <c r="I741" i="4" s="1"/>
  <c r="I742" i="4" a="1"/>
  <c r="I742" i="4" s="1"/>
  <c r="I743" i="4" a="1"/>
  <c r="I743" i="4" s="1"/>
  <c r="I744" i="4" a="1"/>
  <c r="I744" i="4" s="1"/>
  <c r="I745" i="4" a="1"/>
  <c r="I745" i="4" s="1"/>
  <c r="I3" i="4" a="1"/>
  <c r="I3" i="4" s="1"/>
  <c r="J596" i="8"/>
  <c r="J595" i="8"/>
  <c r="J594" i="8"/>
  <c r="J593" i="8"/>
  <c r="J592" i="8"/>
  <c r="J591" i="8"/>
  <c r="J590" i="8"/>
  <c r="J589" i="8"/>
  <c r="J588" i="8"/>
  <c r="J587" i="8"/>
  <c r="J586" i="8"/>
  <c r="J585" i="8"/>
  <c r="J584" i="8"/>
  <c r="J583" i="8"/>
  <c r="J582" i="8"/>
  <c r="J581" i="8"/>
  <c r="J580" i="8"/>
  <c r="J579" i="8"/>
  <c r="J578" i="8"/>
  <c r="J577" i="8"/>
  <c r="J576" i="8"/>
  <c r="J575" i="8"/>
  <c r="J574" i="8"/>
  <c r="J573" i="8"/>
  <c r="J572" i="8"/>
  <c r="J571" i="8"/>
  <c r="J570" i="8"/>
  <c r="J569" i="8"/>
  <c r="J568" i="8"/>
  <c r="J567" i="8"/>
  <c r="J566" i="8"/>
  <c r="J565" i="8"/>
  <c r="J564" i="8"/>
  <c r="J563" i="8"/>
  <c r="J562" i="8"/>
  <c r="J561" i="8"/>
  <c r="J560" i="8"/>
  <c r="J559" i="8"/>
  <c r="J558" i="8"/>
  <c r="J557" i="8"/>
  <c r="J556" i="8"/>
  <c r="J555" i="8"/>
  <c r="J554" i="8"/>
  <c r="J553" i="8"/>
  <c r="J552" i="8"/>
  <c r="J551" i="8"/>
  <c r="J550" i="8"/>
  <c r="J549" i="8"/>
  <c r="J548" i="8"/>
  <c r="J547" i="8"/>
  <c r="J546" i="8"/>
  <c r="J545" i="8"/>
  <c r="J544" i="8"/>
  <c r="J543" i="8"/>
  <c r="J542" i="8"/>
  <c r="J541" i="8"/>
  <c r="J540" i="8"/>
  <c r="J539" i="8"/>
  <c r="J538" i="8"/>
  <c r="J537" i="8"/>
  <c r="J536" i="8"/>
  <c r="J535" i="8"/>
  <c r="J534" i="8"/>
  <c r="J533" i="8"/>
  <c r="J532" i="8"/>
  <c r="J531" i="8"/>
  <c r="J530" i="8"/>
  <c r="J529" i="8"/>
  <c r="J528" i="8"/>
  <c r="J527" i="8"/>
  <c r="J526" i="8"/>
  <c r="J525" i="8"/>
  <c r="J524" i="8"/>
  <c r="J523" i="8"/>
  <c r="J522" i="8"/>
  <c r="J521" i="8"/>
  <c r="J520" i="8"/>
  <c r="J519" i="8"/>
  <c r="J518" i="8"/>
  <c r="J517" i="8"/>
  <c r="J516" i="8"/>
  <c r="J515" i="8"/>
  <c r="J514" i="8"/>
  <c r="J513" i="8"/>
  <c r="J512" i="8"/>
  <c r="J511" i="8"/>
  <c r="J510" i="8"/>
  <c r="J509" i="8"/>
  <c r="J508" i="8"/>
  <c r="J507" i="8"/>
  <c r="J506" i="8"/>
  <c r="J505" i="8"/>
  <c r="J504" i="8"/>
  <c r="J503" i="8"/>
  <c r="J502" i="8"/>
  <c r="J501" i="8"/>
  <c r="J500" i="8"/>
  <c r="J499" i="8"/>
  <c r="J498" i="8"/>
  <c r="J497" i="8"/>
  <c r="J496" i="8"/>
  <c r="J495" i="8"/>
  <c r="J494" i="8"/>
  <c r="J493" i="8"/>
  <c r="J492" i="8"/>
  <c r="J491" i="8"/>
  <c r="J490" i="8"/>
  <c r="J489" i="8"/>
  <c r="J488" i="8"/>
  <c r="J487" i="8"/>
  <c r="J486" i="8"/>
  <c r="J485" i="8"/>
  <c r="J484" i="8"/>
  <c r="J483" i="8"/>
  <c r="J482" i="8"/>
  <c r="J481" i="8"/>
  <c r="J480" i="8"/>
  <c r="J479" i="8"/>
  <c r="J478" i="8"/>
  <c r="J477" i="8"/>
  <c r="J476" i="8"/>
  <c r="J475" i="8"/>
  <c r="J474" i="8"/>
  <c r="J473" i="8"/>
  <c r="J472" i="8"/>
  <c r="J471" i="8"/>
  <c r="J470" i="8"/>
  <c r="J469" i="8"/>
  <c r="J468" i="8"/>
  <c r="J467" i="8"/>
  <c r="J466" i="8"/>
  <c r="J465" i="8"/>
  <c r="J464" i="8"/>
  <c r="J463" i="8"/>
  <c r="J462" i="8"/>
  <c r="J461" i="8"/>
  <c r="J460" i="8"/>
  <c r="J459" i="8"/>
  <c r="J458" i="8"/>
  <c r="J457" i="8"/>
  <c r="J456" i="8"/>
  <c r="J455" i="8"/>
  <c r="J454" i="8"/>
  <c r="J453" i="8"/>
  <c r="J452" i="8"/>
  <c r="J451" i="8"/>
  <c r="J450" i="8"/>
  <c r="J449" i="8"/>
  <c r="J448" i="8"/>
  <c r="J447" i="8"/>
  <c r="J446" i="8"/>
  <c r="J445" i="8"/>
  <c r="J444" i="8"/>
  <c r="J443" i="8"/>
  <c r="J442" i="8"/>
  <c r="J441" i="8"/>
  <c r="J440" i="8"/>
  <c r="J439" i="8"/>
  <c r="J438" i="8"/>
  <c r="J437" i="8"/>
  <c r="J436" i="8"/>
  <c r="J435" i="8"/>
  <c r="J434" i="8"/>
  <c r="J433" i="8"/>
  <c r="J432" i="8"/>
  <c r="J431" i="8"/>
  <c r="J430" i="8"/>
  <c r="J429" i="8"/>
  <c r="J428" i="8"/>
  <c r="J427" i="8"/>
  <c r="J426" i="8"/>
  <c r="J425" i="8"/>
  <c r="J424" i="8"/>
  <c r="J423" i="8"/>
  <c r="J422" i="8"/>
  <c r="J421" i="8"/>
  <c r="J420" i="8"/>
  <c r="J419" i="8"/>
  <c r="J418" i="8"/>
  <c r="J417" i="8"/>
  <c r="J416" i="8"/>
  <c r="J415" i="8"/>
  <c r="J414" i="8"/>
  <c r="J413" i="8"/>
  <c r="J412" i="8"/>
  <c r="J411" i="8"/>
  <c r="J410" i="8"/>
  <c r="J409" i="8"/>
  <c r="J408" i="8"/>
  <c r="J407" i="8"/>
  <c r="J406" i="8"/>
  <c r="J405" i="8"/>
  <c r="J404" i="8"/>
  <c r="J403" i="8"/>
  <c r="J402" i="8"/>
  <c r="J401" i="8"/>
  <c r="J400" i="8"/>
  <c r="J399" i="8"/>
  <c r="J398" i="8"/>
  <c r="J397" i="8"/>
  <c r="J396" i="8"/>
  <c r="J395" i="8"/>
  <c r="J394" i="8"/>
  <c r="J393" i="8"/>
  <c r="J392" i="8"/>
  <c r="J391" i="8"/>
  <c r="J390" i="8"/>
  <c r="J389" i="8"/>
  <c r="J388" i="8"/>
  <c r="J387" i="8"/>
  <c r="J386" i="8"/>
  <c r="J385" i="8"/>
  <c r="J384" i="8"/>
  <c r="J383" i="8"/>
  <c r="J382" i="8"/>
  <c r="J381" i="8"/>
  <c r="J380" i="8"/>
  <c r="J379" i="8"/>
  <c r="J378" i="8"/>
  <c r="J377" i="8"/>
  <c r="J376" i="8"/>
  <c r="J375" i="8"/>
  <c r="J374" i="8"/>
  <c r="J373" i="8"/>
  <c r="J372" i="8"/>
  <c r="J371" i="8"/>
  <c r="J370" i="8"/>
  <c r="J369" i="8"/>
  <c r="J368" i="8"/>
  <c r="J367" i="8"/>
  <c r="J366" i="8"/>
  <c r="J365" i="8"/>
  <c r="J364" i="8"/>
  <c r="J363" i="8"/>
  <c r="J362" i="8"/>
  <c r="J361" i="8"/>
  <c r="J360" i="8"/>
  <c r="J359" i="8"/>
  <c r="J358" i="8"/>
  <c r="J357" i="8"/>
  <c r="J356" i="8"/>
  <c r="J355" i="8"/>
  <c r="J354" i="8"/>
  <c r="J353" i="8"/>
  <c r="J352" i="8"/>
  <c r="J351" i="8"/>
  <c r="J350" i="8"/>
  <c r="J349" i="8"/>
  <c r="J348" i="8"/>
  <c r="J347" i="8"/>
  <c r="J346" i="8"/>
  <c r="J345" i="8"/>
  <c r="J344" i="8"/>
  <c r="J343" i="8"/>
  <c r="J342" i="8"/>
  <c r="J341" i="8"/>
  <c r="J340" i="8"/>
  <c r="J339" i="8"/>
  <c r="J338" i="8"/>
  <c r="J337" i="8"/>
  <c r="J336" i="8"/>
  <c r="J335" i="8"/>
  <c r="J334" i="8"/>
  <c r="J333" i="8"/>
  <c r="J332" i="8"/>
  <c r="J331" i="8"/>
  <c r="J330" i="8"/>
  <c r="J329" i="8"/>
  <c r="J328" i="8"/>
  <c r="J327" i="8"/>
  <c r="J326" i="8"/>
  <c r="J325" i="8"/>
  <c r="J324" i="8"/>
  <c r="J323" i="8"/>
  <c r="J322" i="8"/>
  <c r="J321" i="8"/>
  <c r="J320" i="8"/>
  <c r="J319" i="8"/>
  <c r="J318" i="8"/>
  <c r="J317" i="8"/>
  <c r="J316" i="8"/>
  <c r="J315" i="8"/>
  <c r="J314" i="8"/>
  <c r="J313" i="8"/>
  <c r="J312" i="8"/>
  <c r="J311" i="8"/>
  <c r="J310" i="8"/>
  <c r="J309" i="8"/>
  <c r="J308" i="8"/>
  <c r="J307" i="8"/>
  <c r="J306" i="8"/>
  <c r="J305" i="8"/>
  <c r="J304" i="8"/>
  <c r="J303" i="8"/>
  <c r="J302" i="8"/>
  <c r="J301" i="8"/>
  <c r="J300" i="8"/>
  <c r="J299" i="8"/>
  <c r="J298" i="8"/>
  <c r="J297" i="8"/>
  <c r="J296" i="8"/>
  <c r="J295" i="8"/>
  <c r="J294" i="8"/>
  <c r="J293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260" i="8"/>
  <c r="J259" i="8"/>
  <c r="J258" i="8"/>
  <c r="J257" i="8"/>
  <c r="J256" i="8"/>
  <c r="J255" i="8"/>
  <c r="J254" i="8"/>
  <c r="J253" i="8"/>
  <c r="J252" i="8"/>
  <c r="J251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V3" i="4"/>
  <c r="G3" i="4" l="1" a="1"/>
  <c r="G3" i="4" s="1"/>
  <c r="G4" i="4" a="1"/>
  <c r="G4" i="4" s="1"/>
  <c r="G5" i="4" a="1"/>
  <c r="G5" i="4" s="1"/>
  <c r="G6" i="4" a="1"/>
  <c r="G6" i="4" s="1"/>
  <c r="G7" i="4" a="1"/>
  <c r="G7" i="4" s="1"/>
  <c r="G8" i="4" a="1"/>
  <c r="G8" i="4" s="1"/>
  <c r="G9" i="4" a="1"/>
  <c r="G9" i="4" s="1"/>
  <c r="G10" i="4" a="1"/>
  <c r="G10" i="4" s="1"/>
  <c r="G11" i="4" a="1"/>
  <c r="G11" i="4" s="1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17" i="4" a="1"/>
  <c r="G17" i="4" s="1"/>
  <c r="G18" i="4" a="1"/>
  <c r="G18" i="4" s="1"/>
  <c r="G19" i="4" a="1"/>
  <c r="G19" i="4" s="1"/>
  <c r="G20" i="4" a="1"/>
  <c r="G20" i="4" s="1"/>
  <c r="G21" i="4" a="1"/>
  <c r="G21" i="4" s="1"/>
  <c r="G22" i="4" a="1"/>
  <c r="G22" i="4" s="1"/>
  <c r="G23" i="4" a="1"/>
  <c r="G23" i="4" s="1"/>
  <c r="G24" i="4" a="1"/>
  <c r="G24" i="4" s="1"/>
  <c r="G25" i="4" a="1"/>
  <c r="G25" i="4" s="1"/>
  <c r="G26" i="4" a="1"/>
  <c r="G26" i="4" s="1"/>
  <c r="G27" i="4" a="1"/>
  <c r="G27" i="4" s="1"/>
  <c r="G28" i="4" a="1"/>
  <c r="G28" i="4" s="1"/>
  <c r="G29" i="4" a="1"/>
  <c r="G29" i="4" s="1"/>
  <c r="G30" i="4" a="1"/>
  <c r="G30" i="4" s="1"/>
  <c r="G31" i="4" a="1"/>
  <c r="G31" i="4" s="1"/>
  <c r="G32" i="4" a="1"/>
  <c r="G32" i="4" s="1"/>
  <c r="G33" i="4" a="1"/>
  <c r="G33" i="4" s="1"/>
  <c r="G34" i="4" a="1"/>
  <c r="G34" i="4" s="1"/>
  <c r="G35" i="4" a="1"/>
  <c r="G35" i="4" s="1"/>
  <c r="G36" i="4" a="1"/>
  <c r="G36" i="4" s="1"/>
  <c r="G37" i="4" a="1"/>
  <c r="G37" i="4" s="1"/>
  <c r="G38" i="4" a="1"/>
  <c r="G38" i="4" s="1"/>
  <c r="G39" i="4" a="1"/>
  <c r="G39" i="4" s="1"/>
  <c r="G40" i="4" a="1"/>
  <c r="G40" i="4" s="1"/>
  <c r="G41" i="4" a="1"/>
  <c r="G41" i="4" s="1"/>
  <c r="G42" i="4" a="1"/>
  <c r="G42" i="4" s="1"/>
  <c r="G43" i="4" a="1"/>
  <c r="G43" i="4" s="1"/>
  <c r="G44" i="4" a="1"/>
  <c r="G44" i="4" s="1"/>
  <c r="G45" i="4" a="1"/>
  <c r="G45" i="4" s="1"/>
  <c r="G46" i="4" a="1"/>
  <c r="G46" i="4" s="1"/>
  <c r="G47" i="4" a="1"/>
  <c r="G47" i="4" s="1"/>
  <c r="G48" i="4" a="1"/>
  <c r="G48" i="4" s="1"/>
  <c r="G49" i="4" a="1"/>
  <c r="G49" i="4" s="1"/>
  <c r="G50" i="4" a="1"/>
  <c r="G50" i="4" s="1"/>
  <c r="G51" i="4" a="1"/>
  <c r="G51" i="4" s="1"/>
  <c r="G52" i="4" a="1"/>
  <c r="G52" i="4" s="1"/>
  <c r="G53" i="4" a="1"/>
  <c r="G53" i="4" s="1"/>
  <c r="G54" i="4" a="1"/>
  <c r="G54" i="4" s="1"/>
  <c r="G55" i="4" a="1"/>
  <c r="G55" i="4" s="1"/>
  <c r="G56" i="4" a="1"/>
  <c r="G56" i="4" s="1"/>
  <c r="G57" i="4" a="1"/>
  <c r="G57" i="4" s="1"/>
  <c r="G58" i="4" a="1"/>
  <c r="G58" i="4" s="1"/>
  <c r="G59" i="4" a="1"/>
  <c r="G59" i="4" s="1"/>
  <c r="G60" i="4" a="1"/>
  <c r="G60" i="4" s="1"/>
  <c r="G61" i="4" a="1"/>
  <c r="G61" i="4" s="1"/>
  <c r="G62" i="4" a="1"/>
  <c r="G62" i="4" s="1"/>
  <c r="G63" i="4" a="1"/>
  <c r="G63" i="4" s="1"/>
  <c r="G64" i="4" a="1"/>
  <c r="G64" i="4" s="1"/>
  <c r="G65" i="4" a="1"/>
  <c r="G65" i="4" s="1"/>
  <c r="G66" i="4" a="1"/>
  <c r="G66" i="4" s="1"/>
  <c r="G67" i="4" a="1"/>
  <c r="G67" i="4" s="1"/>
  <c r="G68" i="4" a="1"/>
  <c r="G68" i="4" s="1"/>
  <c r="G69" i="4" a="1"/>
  <c r="G69" i="4" s="1"/>
  <c r="G70" i="4" a="1"/>
  <c r="G70" i="4" s="1"/>
  <c r="G71" i="4" a="1"/>
  <c r="G71" i="4" s="1"/>
  <c r="G72" i="4" a="1"/>
  <c r="G72" i="4" s="1"/>
  <c r="G73" i="4" a="1"/>
  <c r="G73" i="4" s="1"/>
  <c r="G74" i="4" a="1"/>
  <c r="G74" i="4" s="1"/>
  <c r="G75" i="4" a="1"/>
  <c r="G75" i="4" s="1"/>
  <c r="G76" i="4" a="1"/>
  <c r="G76" i="4" s="1"/>
  <c r="G77" i="4" a="1"/>
  <c r="G77" i="4" s="1"/>
  <c r="G78" i="4" a="1"/>
  <c r="G78" i="4" s="1"/>
  <c r="G79" i="4" a="1"/>
  <c r="G79" i="4" s="1"/>
  <c r="G80" i="4" a="1"/>
  <c r="G80" i="4" s="1"/>
  <c r="G81" i="4" a="1"/>
  <c r="G81" i="4" s="1"/>
  <c r="G82" i="4" a="1"/>
  <c r="G82" i="4" s="1"/>
  <c r="G83" i="4" a="1"/>
  <c r="G83" i="4" s="1"/>
  <c r="G84" i="4" a="1"/>
  <c r="G84" i="4" s="1"/>
  <c r="G85" i="4" a="1"/>
  <c r="G85" i="4" s="1"/>
  <c r="G86" i="4" a="1"/>
  <c r="G86" i="4" s="1"/>
  <c r="G87" i="4" a="1"/>
  <c r="G87" i="4" s="1"/>
  <c r="G88" i="4" a="1"/>
  <c r="G88" i="4" s="1"/>
  <c r="G89" i="4" a="1"/>
  <c r="G89" i="4" s="1"/>
  <c r="G90" i="4" a="1"/>
  <c r="G90" i="4" s="1"/>
  <c r="G91" i="4" a="1"/>
  <c r="G91" i="4" s="1"/>
  <c r="G92" i="4" a="1"/>
  <c r="G92" i="4" s="1"/>
  <c r="G93" i="4" a="1"/>
  <c r="G93" i="4" s="1"/>
  <c r="G94" i="4" a="1"/>
  <c r="G94" i="4" s="1"/>
  <c r="G95" i="4" a="1"/>
  <c r="G95" i="4" s="1"/>
  <c r="G96" i="4" a="1"/>
  <c r="G96" i="4" s="1"/>
  <c r="G97" i="4" a="1"/>
  <c r="G97" i="4" s="1"/>
  <c r="G98" i="4" a="1"/>
  <c r="G98" i="4" s="1"/>
  <c r="G99" i="4" a="1"/>
  <c r="G99" i="4" s="1"/>
  <c r="G100" i="4" a="1"/>
  <c r="G100" i="4" s="1"/>
  <c r="G101" i="4" a="1"/>
  <c r="G101" i="4" s="1"/>
  <c r="G102" i="4" a="1"/>
  <c r="G102" i="4" s="1"/>
  <c r="G103" i="4" a="1"/>
  <c r="G103" i="4" s="1"/>
  <c r="G104" i="4" a="1"/>
  <c r="G104" i="4" s="1"/>
  <c r="G105" i="4" a="1"/>
  <c r="G105" i="4" s="1"/>
  <c r="G106" i="4" a="1"/>
  <c r="G106" i="4" s="1"/>
  <c r="G107" i="4" a="1"/>
  <c r="G107" i="4" s="1"/>
  <c r="G108" i="4" a="1"/>
  <c r="G108" i="4" s="1"/>
  <c r="G109" i="4" a="1"/>
  <c r="G109" i="4" s="1"/>
  <c r="G110" i="4" a="1"/>
  <c r="G110" i="4" s="1"/>
  <c r="G111" i="4" a="1"/>
  <c r="G111" i="4" s="1"/>
  <c r="G112" i="4" a="1"/>
  <c r="G112" i="4" s="1"/>
  <c r="G113" i="4" a="1"/>
  <c r="G113" i="4" s="1"/>
  <c r="G114" i="4" a="1"/>
  <c r="G114" i="4" s="1"/>
  <c r="G115" i="4" a="1"/>
  <c r="G115" i="4" s="1"/>
  <c r="G116" i="4" a="1"/>
  <c r="G116" i="4" s="1"/>
  <c r="G117" i="4" a="1"/>
  <c r="G117" i="4" s="1"/>
  <c r="G118" i="4" a="1"/>
  <c r="G118" i="4" s="1"/>
  <c r="G119" i="4" a="1"/>
  <c r="G119" i="4" s="1"/>
  <c r="G120" i="4" a="1"/>
  <c r="G120" i="4" s="1"/>
  <c r="G121" i="4" a="1"/>
  <c r="G121" i="4" s="1"/>
  <c r="G122" i="4" a="1"/>
  <c r="G122" i="4" s="1"/>
  <c r="G123" i="4" a="1"/>
  <c r="G123" i="4" s="1"/>
  <c r="G124" i="4" a="1"/>
  <c r="G124" i="4" s="1"/>
  <c r="G125" i="4" a="1"/>
  <c r="G125" i="4" s="1"/>
  <c r="G126" i="4" a="1"/>
  <c r="G126" i="4" s="1"/>
  <c r="G127" i="4" a="1"/>
  <c r="G127" i="4" s="1"/>
  <c r="G128" i="4" a="1"/>
  <c r="G128" i="4" s="1"/>
  <c r="G129" i="4" a="1"/>
  <c r="G129" i="4" s="1"/>
  <c r="G130" i="4" a="1"/>
  <c r="G130" i="4" s="1"/>
  <c r="G131" i="4" a="1"/>
  <c r="G131" i="4" s="1"/>
  <c r="G132" i="4" a="1"/>
  <c r="G132" i="4" s="1"/>
  <c r="G133" i="4" a="1"/>
  <c r="G133" i="4" s="1"/>
  <c r="G134" i="4" a="1"/>
  <c r="G134" i="4" s="1"/>
  <c r="G135" i="4" a="1"/>
  <c r="G135" i="4" s="1"/>
  <c r="G136" i="4" a="1"/>
  <c r="G136" i="4" s="1"/>
  <c r="G137" i="4" a="1"/>
  <c r="G137" i="4" s="1"/>
  <c r="G138" i="4" a="1"/>
  <c r="G138" i="4" s="1"/>
  <c r="G139" i="4" a="1"/>
  <c r="G139" i="4" s="1"/>
  <c r="G140" i="4" a="1"/>
  <c r="G140" i="4" s="1"/>
  <c r="G141" i="4" a="1"/>
  <c r="G141" i="4" s="1"/>
  <c r="G142" i="4" a="1"/>
  <c r="G142" i="4" s="1"/>
  <c r="G143" i="4" a="1"/>
  <c r="G143" i="4" s="1"/>
  <c r="G144" i="4" a="1"/>
  <c r="G144" i="4" s="1"/>
  <c r="G145" i="4" a="1"/>
  <c r="G145" i="4" s="1"/>
  <c r="G146" i="4" a="1"/>
  <c r="G146" i="4" s="1"/>
  <c r="G147" i="4" a="1"/>
  <c r="G147" i="4" s="1"/>
  <c r="G148" i="4" a="1"/>
  <c r="G148" i="4" s="1"/>
  <c r="G149" i="4" a="1"/>
  <c r="G149" i="4" s="1"/>
  <c r="G150" i="4" a="1"/>
  <c r="G150" i="4" s="1"/>
  <c r="G151" i="4" a="1"/>
  <c r="G151" i="4" s="1"/>
  <c r="G152" i="4" a="1"/>
  <c r="G152" i="4" s="1"/>
  <c r="G153" i="4" a="1"/>
  <c r="G153" i="4" s="1"/>
  <c r="G154" i="4" a="1"/>
  <c r="G154" i="4" s="1"/>
  <c r="G155" i="4" a="1"/>
  <c r="G155" i="4" s="1"/>
  <c r="G156" i="4" a="1"/>
  <c r="G156" i="4" s="1"/>
  <c r="G157" i="4" a="1"/>
  <c r="G157" i="4" s="1"/>
  <c r="G158" i="4" a="1"/>
  <c r="G158" i="4" s="1"/>
  <c r="G159" i="4" a="1"/>
  <c r="G159" i="4" s="1"/>
  <c r="G160" i="4" a="1"/>
  <c r="G160" i="4" s="1"/>
  <c r="G161" i="4" a="1"/>
  <c r="G161" i="4" s="1"/>
  <c r="G162" i="4" a="1"/>
  <c r="G162" i="4" s="1"/>
  <c r="G163" i="4" a="1"/>
  <c r="G163" i="4" s="1"/>
  <c r="G164" i="4" a="1"/>
  <c r="G164" i="4" s="1"/>
  <c r="G165" i="4" a="1"/>
  <c r="G165" i="4" s="1"/>
  <c r="G166" i="4" a="1"/>
  <c r="G166" i="4" s="1"/>
  <c r="G167" i="4" a="1"/>
  <c r="G167" i="4" s="1"/>
  <c r="G168" i="4" a="1"/>
  <c r="G168" i="4" s="1"/>
  <c r="G169" i="4" a="1"/>
  <c r="G169" i="4" s="1"/>
  <c r="G170" i="4" a="1"/>
  <c r="G170" i="4" s="1"/>
  <c r="G171" i="4" a="1"/>
  <c r="G171" i="4" s="1"/>
  <c r="G172" i="4" a="1"/>
  <c r="G172" i="4" s="1"/>
  <c r="G173" i="4" a="1"/>
  <c r="G173" i="4" s="1"/>
  <c r="G174" i="4" a="1"/>
  <c r="G174" i="4" s="1"/>
  <c r="G175" i="4" a="1"/>
  <c r="G175" i="4" s="1"/>
  <c r="G176" i="4" a="1"/>
  <c r="G176" i="4" s="1"/>
  <c r="G177" i="4" a="1"/>
  <c r="G177" i="4" s="1"/>
  <c r="G178" i="4" a="1"/>
  <c r="G178" i="4" s="1"/>
  <c r="G179" i="4" a="1"/>
  <c r="G179" i="4" s="1"/>
  <c r="G180" i="4" a="1"/>
  <c r="G180" i="4" s="1"/>
  <c r="G181" i="4" a="1"/>
  <c r="G181" i="4" s="1"/>
  <c r="G182" i="4" a="1"/>
  <c r="G182" i="4" s="1"/>
  <c r="G183" i="4" a="1"/>
  <c r="G183" i="4" s="1"/>
  <c r="G184" i="4" a="1"/>
  <c r="G184" i="4" s="1"/>
  <c r="G185" i="4" a="1"/>
  <c r="G185" i="4" s="1"/>
  <c r="G186" i="4" a="1"/>
  <c r="G186" i="4" s="1"/>
  <c r="G187" i="4" a="1"/>
  <c r="G187" i="4" s="1"/>
  <c r="G188" i="4" a="1"/>
  <c r="G188" i="4" s="1"/>
  <c r="G189" i="4" a="1"/>
  <c r="G189" i="4" s="1"/>
  <c r="G190" i="4" a="1"/>
  <c r="G190" i="4" s="1"/>
  <c r="G191" i="4" a="1"/>
  <c r="G191" i="4" s="1"/>
  <c r="G192" i="4" a="1"/>
  <c r="G192" i="4" s="1"/>
  <c r="G193" i="4" a="1"/>
  <c r="G193" i="4" s="1"/>
  <c r="G194" i="4" a="1"/>
  <c r="G194" i="4" s="1"/>
  <c r="G195" i="4" a="1"/>
  <c r="G195" i="4" s="1"/>
  <c r="G196" i="4" a="1"/>
  <c r="G196" i="4" s="1"/>
  <c r="G197" i="4" a="1"/>
  <c r="G197" i="4" s="1"/>
  <c r="G198" i="4" a="1"/>
  <c r="G198" i="4" s="1"/>
  <c r="G199" i="4" a="1"/>
  <c r="G199" i="4" s="1"/>
  <c r="G200" i="4" a="1"/>
  <c r="G200" i="4" s="1"/>
  <c r="G201" i="4" a="1"/>
  <c r="G201" i="4" s="1"/>
  <c r="G202" i="4" a="1"/>
  <c r="G202" i="4" s="1"/>
  <c r="G203" i="4" a="1"/>
  <c r="G203" i="4" s="1"/>
  <c r="G204" i="4" a="1"/>
  <c r="G204" i="4" s="1"/>
  <c r="G205" i="4" a="1"/>
  <c r="G205" i="4" s="1"/>
  <c r="G206" i="4" a="1"/>
  <c r="G206" i="4" s="1"/>
  <c r="G207" i="4" a="1"/>
  <c r="G207" i="4" s="1"/>
  <c r="G208" i="4" a="1"/>
  <c r="G208" i="4" s="1"/>
  <c r="G209" i="4" a="1"/>
  <c r="G209" i="4" s="1"/>
  <c r="G210" i="4" a="1"/>
  <c r="G210" i="4" s="1"/>
  <c r="G211" i="4" a="1"/>
  <c r="G211" i="4" s="1"/>
  <c r="G212" i="4" a="1"/>
  <c r="G212" i="4" s="1"/>
  <c r="G213" i="4" a="1"/>
  <c r="G213" i="4" s="1"/>
  <c r="G214" i="4" a="1"/>
  <c r="G214" i="4" s="1"/>
  <c r="G215" i="4" a="1"/>
  <c r="G215" i="4" s="1"/>
  <c r="G216" i="4" a="1"/>
  <c r="G216" i="4" s="1"/>
  <c r="G217" i="4" a="1"/>
  <c r="G217" i="4" s="1"/>
  <c r="G218" i="4" a="1"/>
  <c r="G218" i="4" s="1"/>
  <c r="G219" i="4" a="1"/>
  <c r="G219" i="4" s="1"/>
  <c r="G220" i="4" a="1"/>
  <c r="G220" i="4" s="1"/>
  <c r="G221" i="4" a="1"/>
  <c r="G221" i="4" s="1"/>
  <c r="G222" i="4" a="1"/>
  <c r="G222" i="4" s="1"/>
  <c r="G223" i="4" a="1"/>
  <c r="G223" i="4" s="1"/>
  <c r="G224" i="4" a="1"/>
  <c r="G224" i="4" s="1"/>
  <c r="G225" i="4" a="1"/>
  <c r="G225" i="4" s="1"/>
  <c r="G226" i="4" a="1"/>
  <c r="G226" i="4" s="1"/>
  <c r="G227" i="4" a="1"/>
  <c r="G227" i="4" s="1"/>
  <c r="G228" i="4" a="1"/>
  <c r="G228" i="4" s="1"/>
  <c r="G229" i="4" a="1"/>
  <c r="G229" i="4" s="1"/>
  <c r="G230" i="4" a="1"/>
  <c r="G230" i="4" s="1"/>
  <c r="G231" i="4" a="1"/>
  <c r="G231" i="4" s="1"/>
  <c r="G232" i="4" a="1"/>
  <c r="G232" i="4" s="1"/>
  <c r="G233" i="4" a="1"/>
  <c r="G233" i="4" s="1"/>
  <c r="G234" i="4" a="1"/>
  <c r="G234" i="4" s="1"/>
  <c r="G235" i="4" a="1"/>
  <c r="G235" i="4" s="1"/>
  <c r="G236" i="4" a="1"/>
  <c r="G236" i="4" s="1"/>
  <c r="G237" i="4" a="1"/>
  <c r="G237" i="4" s="1"/>
  <c r="G238" i="4" a="1"/>
  <c r="G238" i="4" s="1"/>
  <c r="G239" i="4" a="1"/>
  <c r="G239" i="4" s="1"/>
  <c r="G240" i="4" a="1"/>
  <c r="G240" i="4" s="1"/>
  <c r="G241" i="4" a="1"/>
  <c r="G241" i="4" s="1"/>
  <c r="G242" i="4" a="1"/>
  <c r="G242" i="4" s="1"/>
  <c r="G243" i="4" a="1"/>
  <c r="G243" i="4" s="1"/>
  <c r="G244" i="4" a="1"/>
  <c r="G244" i="4" s="1"/>
  <c r="G245" i="4" a="1"/>
  <c r="G245" i="4" s="1"/>
  <c r="G246" i="4" a="1"/>
  <c r="G246" i="4" s="1"/>
  <c r="G247" i="4" a="1"/>
  <c r="G247" i="4" s="1"/>
  <c r="G248" i="4" a="1"/>
  <c r="G248" i="4" s="1"/>
  <c r="G249" i="4" a="1"/>
  <c r="G249" i="4" s="1"/>
  <c r="G250" i="4" a="1"/>
  <c r="G250" i="4" s="1"/>
  <c r="G251" i="4" a="1"/>
  <c r="G251" i="4" s="1"/>
  <c r="G252" i="4" a="1"/>
  <c r="G252" i="4" s="1"/>
  <c r="G253" i="4" a="1"/>
  <c r="G253" i="4" s="1"/>
  <c r="G254" i="4" a="1"/>
  <c r="G254" i="4" s="1"/>
  <c r="G255" i="4" a="1"/>
  <c r="G255" i="4" s="1"/>
  <c r="G256" i="4" a="1"/>
  <c r="G256" i="4" s="1"/>
  <c r="G257" i="4" a="1"/>
  <c r="G257" i="4" s="1"/>
  <c r="G258" i="4" a="1"/>
  <c r="G258" i="4" s="1"/>
  <c r="G259" i="4" a="1"/>
  <c r="G259" i="4" s="1"/>
  <c r="G260" i="4" a="1"/>
  <c r="G260" i="4" s="1"/>
  <c r="G261" i="4" a="1"/>
  <c r="G261" i="4" s="1"/>
  <c r="G262" i="4" a="1"/>
  <c r="G262" i="4" s="1"/>
  <c r="G263" i="4" a="1"/>
  <c r="G263" i="4" s="1"/>
  <c r="G264" i="4" a="1"/>
  <c r="G264" i="4" s="1"/>
  <c r="G265" i="4" a="1"/>
  <c r="G265" i="4" s="1"/>
  <c r="G266" i="4" a="1"/>
  <c r="G266" i="4" s="1"/>
  <c r="G267" i="4" a="1"/>
  <c r="G267" i="4" s="1"/>
  <c r="G268" i="4" a="1"/>
  <c r="G268" i="4" s="1"/>
  <c r="G269" i="4" a="1"/>
  <c r="G269" i="4" s="1"/>
  <c r="G270" i="4" a="1"/>
  <c r="G270" i="4" s="1"/>
  <c r="G271" i="4" a="1"/>
  <c r="G271" i="4" s="1"/>
  <c r="G272" i="4" a="1"/>
  <c r="G272" i="4" s="1"/>
  <c r="G273" i="4" a="1"/>
  <c r="G273" i="4" s="1"/>
  <c r="G274" i="4" a="1"/>
  <c r="G274" i="4" s="1"/>
  <c r="G275" i="4" a="1"/>
  <c r="G275" i="4" s="1"/>
  <c r="G276" i="4" a="1"/>
  <c r="G276" i="4" s="1"/>
  <c r="G277" i="4" a="1"/>
  <c r="G277" i="4" s="1"/>
  <c r="G278" i="4" a="1"/>
  <c r="G278" i="4" s="1"/>
  <c r="G279" i="4" a="1"/>
  <c r="G279" i="4" s="1"/>
  <c r="G280" i="4" a="1"/>
  <c r="G280" i="4" s="1"/>
  <c r="G281" i="4" a="1"/>
  <c r="G281" i="4" s="1"/>
  <c r="G282" i="4" a="1"/>
  <c r="G282" i="4" s="1"/>
  <c r="G283" i="4" a="1"/>
  <c r="G283" i="4" s="1"/>
  <c r="G284" i="4" a="1"/>
  <c r="G284" i="4" s="1"/>
  <c r="G285" i="4" a="1"/>
  <c r="G285" i="4" s="1"/>
  <c r="G286" i="4" a="1"/>
  <c r="G286" i="4" s="1"/>
  <c r="G287" i="4" a="1"/>
  <c r="G287" i="4" s="1"/>
  <c r="G288" i="4" a="1"/>
  <c r="G288" i="4" s="1"/>
  <c r="G289" i="4" a="1"/>
  <c r="G289" i="4" s="1"/>
  <c r="G290" i="4" a="1"/>
  <c r="G290" i="4" s="1"/>
  <c r="G291" i="4" a="1"/>
  <c r="G291" i="4" s="1"/>
  <c r="G292" i="4" a="1"/>
  <c r="G292" i="4" s="1"/>
  <c r="G293" i="4" a="1"/>
  <c r="G293" i="4" s="1"/>
  <c r="G294" i="4" a="1"/>
  <c r="G294" i="4" s="1"/>
  <c r="G295" i="4" a="1"/>
  <c r="G295" i="4" s="1"/>
  <c r="G296" i="4" a="1"/>
  <c r="G296" i="4" s="1"/>
  <c r="G297" i="4" a="1"/>
  <c r="G297" i="4" s="1"/>
  <c r="G298" i="4" a="1"/>
  <c r="G298" i="4" s="1"/>
  <c r="G299" i="4" a="1"/>
  <c r="G299" i="4" s="1"/>
  <c r="G300" i="4" a="1"/>
  <c r="G300" i="4" s="1"/>
  <c r="G301" i="4" a="1"/>
  <c r="G301" i="4" s="1"/>
  <c r="G302" i="4" a="1"/>
  <c r="G302" i="4" s="1"/>
  <c r="G303" i="4" a="1"/>
  <c r="G303" i="4" s="1"/>
  <c r="G304" i="4" a="1"/>
  <c r="G304" i="4" s="1"/>
  <c r="G305" i="4" a="1"/>
  <c r="G305" i="4" s="1"/>
  <c r="G306" i="4" a="1"/>
  <c r="G306" i="4" s="1"/>
  <c r="G307" i="4" a="1"/>
  <c r="G307" i="4" s="1"/>
  <c r="G308" i="4" a="1"/>
  <c r="G308" i="4" s="1"/>
  <c r="G309" i="4" a="1"/>
  <c r="G309" i="4" s="1"/>
  <c r="G310" i="4" a="1"/>
  <c r="G310" i="4" s="1"/>
  <c r="G311" i="4" a="1"/>
  <c r="G311" i="4" s="1"/>
  <c r="G312" i="4" a="1"/>
  <c r="G312" i="4" s="1"/>
  <c r="G313" i="4" a="1"/>
  <c r="G313" i="4" s="1"/>
  <c r="G314" i="4" a="1"/>
  <c r="G314" i="4" s="1"/>
  <c r="G315" i="4" a="1"/>
  <c r="G315" i="4" s="1"/>
  <c r="G316" i="4" a="1"/>
  <c r="G316" i="4" s="1"/>
  <c r="G317" i="4" a="1"/>
  <c r="G317" i="4" s="1"/>
  <c r="G318" i="4" a="1"/>
  <c r="G318" i="4" s="1"/>
  <c r="G319" i="4" a="1"/>
  <c r="G319" i="4" s="1"/>
  <c r="G320" i="4" a="1"/>
  <c r="G320" i="4" s="1"/>
  <c r="G321" i="4" a="1"/>
  <c r="G321" i="4" s="1"/>
  <c r="G322" i="4" a="1"/>
  <c r="G322" i="4" s="1"/>
  <c r="G323" i="4" a="1"/>
  <c r="G323" i="4" s="1"/>
  <c r="G324" i="4" a="1"/>
  <c r="G324" i="4" s="1"/>
  <c r="G325" i="4" a="1"/>
  <c r="G325" i="4" s="1"/>
  <c r="G326" i="4" a="1"/>
  <c r="G326" i="4" s="1"/>
  <c r="G327" i="4" a="1"/>
  <c r="G327" i="4" s="1"/>
  <c r="G328" i="4" a="1"/>
  <c r="G328" i="4" s="1"/>
  <c r="G329" i="4" a="1"/>
  <c r="G329" i="4" s="1"/>
  <c r="G330" i="4" a="1"/>
  <c r="G330" i="4" s="1"/>
  <c r="G331" i="4" a="1"/>
  <c r="G331" i="4" s="1"/>
  <c r="G332" i="4" a="1"/>
  <c r="G332" i="4" s="1"/>
  <c r="G333" i="4" a="1"/>
  <c r="G333" i="4" s="1"/>
  <c r="G334" i="4" a="1"/>
  <c r="G334" i="4" s="1"/>
  <c r="G335" i="4" a="1"/>
  <c r="G335" i="4" s="1"/>
  <c r="G336" i="4" a="1"/>
  <c r="G336" i="4" s="1"/>
  <c r="G337" i="4" a="1"/>
  <c r="G337" i="4" s="1"/>
  <c r="G338" i="4" a="1"/>
  <c r="G338" i="4" s="1"/>
  <c r="G339" i="4" a="1"/>
  <c r="G339" i="4" s="1"/>
  <c r="G340" i="4" a="1"/>
  <c r="G340" i="4" s="1"/>
  <c r="G341" i="4" a="1"/>
  <c r="G341" i="4" s="1"/>
  <c r="G342" i="4" a="1"/>
  <c r="G342" i="4" s="1"/>
  <c r="G343" i="4" a="1"/>
  <c r="G343" i="4" s="1"/>
  <c r="G344" i="4" a="1"/>
  <c r="G344" i="4" s="1"/>
  <c r="G345" i="4" a="1"/>
  <c r="G345" i="4" s="1"/>
  <c r="G346" i="4" a="1"/>
  <c r="G346" i="4" s="1"/>
  <c r="G347" i="4" a="1"/>
  <c r="G347" i="4" s="1"/>
  <c r="G348" i="4" a="1"/>
  <c r="G348" i="4" s="1"/>
  <c r="G349" i="4" a="1"/>
  <c r="G349" i="4" s="1"/>
  <c r="G350" i="4" a="1"/>
  <c r="G350" i="4" s="1"/>
  <c r="G351" i="4" a="1"/>
  <c r="G351" i="4" s="1"/>
  <c r="G352" i="4" a="1"/>
  <c r="G352" i="4" s="1"/>
  <c r="G353" i="4" a="1"/>
  <c r="G353" i="4" s="1"/>
  <c r="G354" i="4" a="1"/>
  <c r="G354" i="4" s="1"/>
  <c r="G355" i="4" a="1"/>
  <c r="G355" i="4" s="1"/>
  <c r="G356" i="4" a="1"/>
  <c r="G356" i="4" s="1"/>
  <c r="G357" i="4" a="1"/>
  <c r="G357" i="4" s="1"/>
  <c r="G358" i="4" a="1"/>
  <c r="G358" i="4" s="1"/>
  <c r="G359" i="4" a="1"/>
  <c r="G359" i="4" s="1"/>
  <c r="G360" i="4" a="1"/>
  <c r="G360" i="4" s="1"/>
  <c r="G361" i="4" a="1"/>
  <c r="G361" i="4" s="1"/>
  <c r="G362" i="4" a="1"/>
  <c r="G362" i="4" s="1"/>
  <c r="G363" i="4" a="1"/>
  <c r="G363" i="4" s="1"/>
  <c r="G364" i="4" a="1"/>
  <c r="G364" i="4" s="1"/>
  <c r="G365" i="4" a="1"/>
  <c r="G365" i="4" s="1"/>
  <c r="G366" i="4" a="1"/>
  <c r="G366" i="4" s="1"/>
  <c r="G367" i="4" a="1"/>
  <c r="G367" i="4" s="1"/>
  <c r="G368" i="4" a="1"/>
  <c r="G368" i="4" s="1"/>
  <c r="G369" i="4" a="1"/>
  <c r="G369" i="4" s="1"/>
  <c r="G370" i="4" a="1"/>
  <c r="G370" i="4" s="1"/>
  <c r="G371" i="4" a="1"/>
  <c r="G371" i="4" s="1"/>
  <c r="G372" i="4" a="1"/>
  <c r="G372" i="4" s="1"/>
  <c r="G373" i="4" a="1"/>
  <c r="G373" i="4" s="1"/>
  <c r="G374" i="4" a="1"/>
  <c r="G374" i="4" s="1"/>
  <c r="G375" i="4" a="1"/>
  <c r="G375" i="4" s="1"/>
  <c r="G376" i="4" a="1"/>
  <c r="G376" i="4" s="1"/>
  <c r="G377" i="4" a="1"/>
  <c r="G377" i="4" s="1"/>
  <c r="G378" i="4" a="1"/>
  <c r="G378" i="4" s="1"/>
  <c r="G379" i="4" a="1"/>
  <c r="G379" i="4" s="1"/>
  <c r="G380" i="4" a="1"/>
  <c r="G380" i="4" s="1"/>
  <c r="G381" i="4" a="1"/>
  <c r="G381" i="4" s="1"/>
  <c r="G382" i="4" a="1"/>
  <c r="G382" i="4" s="1"/>
  <c r="G383" i="4" a="1"/>
  <c r="G383" i="4" s="1"/>
  <c r="G384" i="4" a="1"/>
  <c r="G384" i="4" s="1"/>
  <c r="G385" i="4" a="1"/>
  <c r="G385" i="4" s="1"/>
  <c r="G386" i="4" a="1"/>
  <c r="G386" i="4" s="1"/>
  <c r="G387" i="4" a="1"/>
  <c r="G387" i="4" s="1"/>
  <c r="G388" i="4" a="1"/>
  <c r="G388" i="4" s="1"/>
  <c r="G389" i="4" a="1"/>
  <c r="G389" i="4" s="1"/>
  <c r="G390" i="4" a="1"/>
  <c r="G390" i="4" s="1"/>
  <c r="G391" i="4" a="1"/>
  <c r="G391" i="4" s="1"/>
  <c r="G392" i="4" a="1"/>
  <c r="G392" i="4" s="1"/>
  <c r="G393" i="4" a="1"/>
  <c r="G393" i="4" s="1"/>
  <c r="G394" i="4" a="1"/>
  <c r="G394" i="4" s="1"/>
  <c r="G395" i="4" a="1"/>
  <c r="G395" i="4" s="1"/>
  <c r="G396" i="4" a="1"/>
  <c r="G396" i="4" s="1"/>
  <c r="G397" i="4" a="1"/>
  <c r="G397" i="4" s="1"/>
  <c r="G398" i="4" a="1"/>
  <c r="G398" i="4" s="1"/>
  <c r="G399" i="4" a="1"/>
  <c r="G399" i="4" s="1"/>
  <c r="G400" i="4" a="1"/>
  <c r="G400" i="4" s="1"/>
  <c r="G401" i="4" a="1"/>
  <c r="G401" i="4" s="1"/>
  <c r="G402" i="4" a="1"/>
  <c r="G402" i="4" s="1"/>
  <c r="G403" i="4" a="1"/>
  <c r="G403" i="4" s="1"/>
  <c r="G404" i="4" a="1"/>
  <c r="G404" i="4" s="1"/>
  <c r="G405" i="4" a="1"/>
  <c r="G405" i="4" s="1"/>
  <c r="G406" i="4" a="1"/>
  <c r="G406" i="4" s="1"/>
  <c r="G407" i="4" a="1"/>
  <c r="G407" i="4" s="1"/>
  <c r="G408" i="4" a="1"/>
  <c r="G408" i="4" s="1"/>
  <c r="G409" i="4" a="1"/>
  <c r="G409" i="4" s="1"/>
  <c r="G410" i="4" a="1"/>
  <c r="G410" i="4" s="1"/>
  <c r="G411" i="4" a="1"/>
  <c r="G411" i="4" s="1"/>
  <c r="G412" i="4" a="1"/>
  <c r="G412" i="4" s="1"/>
  <c r="G413" i="4" a="1"/>
  <c r="G413" i="4" s="1"/>
  <c r="G414" i="4" a="1"/>
  <c r="G414" i="4" s="1"/>
  <c r="G415" i="4" a="1"/>
  <c r="G415" i="4" s="1"/>
  <c r="G416" i="4" a="1"/>
  <c r="G416" i="4" s="1"/>
  <c r="G417" i="4" a="1"/>
  <c r="G417" i="4" s="1"/>
  <c r="G418" i="4" a="1"/>
  <c r="G418" i="4" s="1"/>
  <c r="G419" i="4" a="1"/>
  <c r="G419" i="4" s="1"/>
  <c r="G420" i="4" a="1"/>
  <c r="G420" i="4" s="1"/>
  <c r="G421" i="4" a="1"/>
  <c r="G421" i="4" s="1"/>
  <c r="G422" i="4" a="1"/>
  <c r="G422" i="4" s="1"/>
  <c r="G423" i="4" a="1"/>
  <c r="G423" i="4" s="1"/>
  <c r="G424" i="4" a="1"/>
  <c r="G424" i="4" s="1"/>
  <c r="G425" i="4" a="1"/>
  <c r="G425" i="4" s="1"/>
  <c r="G426" i="4" a="1"/>
  <c r="G426" i="4" s="1"/>
  <c r="G427" i="4" a="1"/>
  <c r="G427" i="4" s="1"/>
  <c r="G428" i="4" a="1"/>
  <c r="G428" i="4" s="1"/>
  <c r="G429" i="4" a="1"/>
  <c r="G429" i="4" s="1"/>
  <c r="G430" i="4" a="1"/>
  <c r="G430" i="4" s="1"/>
  <c r="G431" i="4" a="1"/>
  <c r="G431" i="4" s="1"/>
  <c r="G432" i="4" a="1"/>
  <c r="G432" i="4" s="1"/>
  <c r="G433" i="4" a="1"/>
  <c r="G433" i="4" s="1"/>
  <c r="G434" i="4" a="1"/>
  <c r="G434" i="4" s="1"/>
  <c r="G435" i="4" a="1"/>
  <c r="G435" i="4" s="1"/>
  <c r="G436" i="4" a="1"/>
  <c r="G436" i="4" s="1"/>
  <c r="G437" i="4" a="1"/>
  <c r="G437" i="4" s="1"/>
  <c r="G438" i="4" a="1"/>
  <c r="G438" i="4" s="1"/>
  <c r="G439" i="4" a="1"/>
  <c r="G439" i="4" s="1"/>
  <c r="G440" i="4" a="1"/>
  <c r="G440" i="4" s="1"/>
  <c r="G441" i="4" a="1"/>
  <c r="G441" i="4" s="1"/>
  <c r="G442" i="4" a="1"/>
  <c r="G442" i="4" s="1"/>
  <c r="G443" i="4" a="1"/>
  <c r="G443" i="4" s="1"/>
  <c r="G444" i="4" a="1"/>
  <c r="G444" i="4" s="1"/>
  <c r="G445" i="4" a="1"/>
  <c r="G445" i="4" s="1"/>
  <c r="G446" i="4" a="1"/>
  <c r="G446" i="4" s="1"/>
  <c r="G447" i="4" a="1"/>
  <c r="G447" i="4" s="1"/>
  <c r="G448" i="4" a="1"/>
  <c r="G448" i="4" s="1"/>
  <c r="G449" i="4" a="1"/>
  <c r="G449" i="4" s="1"/>
  <c r="G450" i="4" a="1"/>
  <c r="G450" i="4" s="1"/>
  <c r="G451" i="4" a="1"/>
  <c r="G451" i="4" s="1"/>
  <c r="G452" i="4" a="1"/>
  <c r="G452" i="4" s="1"/>
  <c r="G453" i="4" a="1"/>
  <c r="G453" i="4" s="1"/>
  <c r="G454" i="4" a="1"/>
  <c r="G454" i="4" s="1"/>
  <c r="G455" i="4" a="1"/>
  <c r="G455" i="4" s="1"/>
  <c r="G456" i="4" a="1"/>
  <c r="G456" i="4" s="1"/>
  <c r="G457" i="4" a="1"/>
  <c r="G457" i="4" s="1"/>
  <c r="G458" i="4" a="1"/>
  <c r="G458" i="4" s="1"/>
  <c r="G459" i="4" a="1"/>
  <c r="G459" i="4" s="1"/>
  <c r="G460" i="4" a="1"/>
  <c r="G460" i="4" s="1"/>
  <c r="G461" i="4" a="1"/>
  <c r="G461" i="4" s="1"/>
  <c r="G462" i="4" a="1"/>
  <c r="G462" i="4" s="1"/>
  <c r="G463" i="4" a="1"/>
  <c r="G463" i="4" s="1"/>
  <c r="G464" i="4" a="1"/>
  <c r="G464" i="4" s="1"/>
  <c r="G465" i="4" a="1"/>
  <c r="G465" i="4" s="1"/>
  <c r="G466" i="4" a="1"/>
  <c r="G466" i="4" s="1"/>
  <c r="G467" i="4" a="1"/>
  <c r="G467" i="4" s="1"/>
  <c r="G468" i="4" a="1"/>
  <c r="G468" i="4" s="1"/>
  <c r="G469" i="4" a="1"/>
  <c r="G469" i="4" s="1"/>
  <c r="G470" i="4" a="1"/>
  <c r="G470" i="4" s="1"/>
  <c r="G471" i="4" a="1"/>
  <c r="G471" i="4" s="1"/>
  <c r="G472" i="4" a="1"/>
  <c r="G472" i="4" s="1"/>
  <c r="G473" i="4" a="1"/>
  <c r="G473" i="4" s="1"/>
  <c r="G474" i="4" a="1"/>
  <c r="G474" i="4" s="1"/>
  <c r="G475" i="4" a="1"/>
  <c r="G475" i="4" s="1"/>
  <c r="G476" i="4" a="1"/>
  <c r="G476" i="4" s="1"/>
  <c r="G477" i="4" a="1"/>
  <c r="G477" i="4" s="1"/>
  <c r="G478" i="4" a="1"/>
  <c r="G478" i="4" s="1"/>
  <c r="G479" i="4" a="1"/>
  <c r="G479" i="4" s="1"/>
  <c r="G480" i="4" a="1"/>
  <c r="G480" i="4" s="1"/>
  <c r="G481" i="4" a="1"/>
  <c r="G481" i="4" s="1"/>
  <c r="G482" i="4" a="1"/>
  <c r="G482" i="4" s="1"/>
  <c r="G483" i="4" a="1"/>
  <c r="G483" i="4" s="1"/>
  <c r="G484" i="4" a="1"/>
  <c r="G484" i="4" s="1"/>
  <c r="G485" i="4" a="1"/>
  <c r="G485" i="4" s="1"/>
  <c r="G486" i="4" a="1"/>
  <c r="G486" i="4" s="1"/>
  <c r="G487" i="4" a="1"/>
  <c r="G487" i="4" s="1"/>
  <c r="G488" i="4" a="1"/>
  <c r="G488" i="4" s="1"/>
  <c r="G489" i="4" a="1"/>
  <c r="G489" i="4" s="1"/>
  <c r="G490" i="4" a="1"/>
  <c r="G490" i="4" s="1"/>
  <c r="G491" i="4" a="1"/>
  <c r="G491" i="4" s="1"/>
  <c r="G492" i="4" a="1"/>
  <c r="G492" i="4" s="1"/>
  <c r="G493" i="4" a="1"/>
  <c r="G493" i="4" s="1"/>
  <c r="G494" i="4" a="1"/>
  <c r="G494" i="4" s="1"/>
  <c r="G495" i="4" a="1"/>
  <c r="G495" i="4" s="1"/>
  <c r="G496" i="4" a="1"/>
  <c r="G496" i="4" s="1"/>
  <c r="G497" i="4" a="1"/>
  <c r="G497" i="4" s="1"/>
  <c r="G498" i="4" a="1"/>
  <c r="G498" i="4" s="1"/>
  <c r="G499" i="4" a="1"/>
  <c r="G499" i="4" s="1"/>
  <c r="G500" i="4" a="1"/>
  <c r="G500" i="4" s="1"/>
  <c r="G501" i="4" a="1"/>
  <c r="G501" i="4" s="1"/>
  <c r="G502" i="4" a="1"/>
  <c r="G502" i="4" s="1"/>
  <c r="G503" i="4" a="1"/>
  <c r="G503" i="4" s="1"/>
  <c r="G504" i="4" a="1"/>
  <c r="G504" i="4" s="1"/>
  <c r="G505" i="4" a="1"/>
  <c r="G505" i="4" s="1"/>
  <c r="G506" i="4" a="1"/>
  <c r="G506" i="4" s="1"/>
  <c r="G507" i="4" a="1"/>
  <c r="G507" i="4" s="1"/>
  <c r="G508" i="4" a="1"/>
  <c r="G508" i="4" s="1"/>
  <c r="G509" i="4" a="1"/>
  <c r="G509" i="4" s="1"/>
  <c r="G510" i="4" a="1"/>
  <c r="G510" i="4" s="1"/>
  <c r="G511" i="4" a="1"/>
  <c r="G511" i="4" s="1"/>
  <c r="G512" i="4" a="1"/>
  <c r="G512" i="4" s="1"/>
  <c r="G513" i="4" a="1"/>
  <c r="G513" i="4" s="1"/>
  <c r="G514" i="4" a="1"/>
  <c r="G514" i="4" s="1"/>
  <c r="G515" i="4" a="1"/>
  <c r="G515" i="4" s="1"/>
  <c r="G516" i="4" a="1"/>
  <c r="G516" i="4" s="1"/>
  <c r="G517" i="4" a="1"/>
  <c r="G517" i="4" s="1"/>
  <c r="G518" i="4" a="1"/>
  <c r="G518" i="4" s="1"/>
  <c r="G519" i="4" a="1"/>
  <c r="G519" i="4" s="1"/>
  <c r="G520" i="4" a="1"/>
  <c r="G520" i="4" s="1"/>
  <c r="G521" i="4" a="1"/>
  <c r="G521" i="4" s="1"/>
  <c r="G522" i="4" a="1"/>
  <c r="G522" i="4" s="1"/>
  <c r="G523" i="4" a="1"/>
  <c r="G523" i="4" s="1"/>
  <c r="G524" i="4" a="1"/>
  <c r="G524" i="4" s="1"/>
  <c r="G525" i="4" a="1"/>
  <c r="G525" i="4" s="1"/>
  <c r="G526" i="4" a="1"/>
  <c r="G526" i="4" s="1"/>
  <c r="G527" i="4" a="1"/>
  <c r="G527" i="4" s="1"/>
  <c r="G528" i="4" a="1"/>
  <c r="G528" i="4" s="1"/>
  <c r="G529" i="4" a="1"/>
  <c r="G529" i="4" s="1"/>
  <c r="G530" i="4" a="1"/>
  <c r="G530" i="4" s="1"/>
  <c r="G531" i="4" a="1"/>
  <c r="G531" i="4" s="1"/>
  <c r="G532" i="4" a="1"/>
  <c r="G532" i="4" s="1"/>
  <c r="G533" i="4" a="1"/>
  <c r="G533" i="4" s="1"/>
  <c r="G534" i="4" a="1"/>
  <c r="G534" i="4" s="1"/>
  <c r="G535" i="4" a="1"/>
  <c r="G535" i="4" s="1"/>
  <c r="G536" i="4" a="1"/>
  <c r="G536" i="4" s="1"/>
  <c r="G537" i="4" a="1"/>
  <c r="G537" i="4" s="1"/>
  <c r="G538" i="4" a="1"/>
  <c r="G538" i="4" s="1"/>
  <c r="G539" i="4" a="1"/>
  <c r="G539" i="4" s="1"/>
  <c r="G540" i="4" a="1"/>
  <c r="G540" i="4" s="1"/>
  <c r="G541" i="4" a="1"/>
  <c r="G541" i="4" s="1"/>
  <c r="G542" i="4" a="1"/>
  <c r="G542" i="4" s="1"/>
  <c r="G543" i="4" a="1"/>
  <c r="G543" i="4" s="1"/>
  <c r="G544" i="4" a="1"/>
  <c r="G544" i="4" s="1"/>
  <c r="G545" i="4" a="1"/>
  <c r="G545" i="4" s="1"/>
  <c r="G546" i="4" a="1"/>
  <c r="G546" i="4" s="1"/>
  <c r="G547" i="4" a="1"/>
  <c r="G547" i="4" s="1"/>
  <c r="G548" i="4" a="1"/>
  <c r="G548" i="4" s="1"/>
  <c r="G549" i="4" a="1"/>
  <c r="G549" i="4" s="1"/>
  <c r="G550" i="4" a="1"/>
  <c r="G550" i="4" s="1"/>
  <c r="G551" i="4" a="1"/>
  <c r="G551" i="4" s="1"/>
  <c r="G552" i="4" a="1"/>
  <c r="G552" i="4" s="1"/>
  <c r="G553" i="4" a="1"/>
  <c r="G553" i="4" s="1"/>
  <c r="G554" i="4" a="1"/>
  <c r="G554" i="4" s="1"/>
  <c r="G555" i="4" a="1"/>
  <c r="G555" i="4" s="1"/>
  <c r="G556" i="4" a="1"/>
  <c r="G556" i="4" s="1"/>
  <c r="G557" i="4" a="1"/>
  <c r="G557" i="4" s="1"/>
  <c r="G558" i="4" a="1"/>
  <c r="G558" i="4" s="1"/>
  <c r="G559" i="4" a="1"/>
  <c r="G559" i="4" s="1"/>
  <c r="G560" i="4" a="1"/>
  <c r="G560" i="4" s="1"/>
  <c r="G561" i="4" a="1"/>
  <c r="G561" i="4" s="1"/>
  <c r="G562" i="4" a="1"/>
  <c r="G562" i="4" s="1"/>
  <c r="G563" i="4" a="1"/>
  <c r="G563" i="4" s="1"/>
  <c r="G564" i="4" a="1"/>
  <c r="G564" i="4" s="1"/>
  <c r="G565" i="4" a="1"/>
  <c r="G565" i="4" s="1"/>
  <c r="G566" i="4" a="1"/>
  <c r="G566" i="4" s="1"/>
  <c r="G567" i="4" a="1"/>
  <c r="G567" i="4" s="1"/>
  <c r="G568" i="4" a="1"/>
  <c r="G568" i="4" s="1"/>
  <c r="G569" i="4" a="1"/>
  <c r="G569" i="4" s="1"/>
  <c r="G570" i="4" a="1"/>
  <c r="G570" i="4" s="1"/>
  <c r="G571" i="4" a="1"/>
  <c r="G571" i="4" s="1"/>
  <c r="G572" i="4" a="1"/>
  <c r="G572" i="4" s="1"/>
  <c r="G573" i="4" a="1"/>
  <c r="G573" i="4" s="1"/>
  <c r="G574" i="4" a="1"/>
  <c r="G574" i="4" s="1"/>
  <c r="G575" i="4" a="1"/>
  <c r="G575" i="4" s="1"/>
  <c r="G576" i="4" a="1"/>
  <c r="G576" i="4" s="1"/>
  <c r="G577" i="4" a="1"/>
  <c r="G577" i="4" s="1"/>
  <c r="G578" i="4" a="1"/>
  <c r="G578" i="4" s="1"/>
  <c r="G579" i="4" a="1"/>
  <c r="G579" i="4" s="1"/>
  <c r="G580" i="4" a="1"/>
  <c r="G580" i="4" s="1"/>
  <c r="G581" i="4" a="1"/>
  <c r="G581" i="4" s="1"/>
  <c r="G582" i="4" a="1"/>
  <c r="G582" i="4" s="1"/>
  <c r="G583" i="4" a="1"/>
  <c r="G583" i="4" s="1"/>
  <c r="G584" i="4" a="1"/>
  <c r="G584" i="4" s="1"/>
  <c r="G585" i="4" a="1"/>
  <c r="G585" i="4" s="1"/>
  <c r="G586" i="4" a="1"/>
  <c r="G586" i="4" s="1"/>
  <c r="G587" i="4" a="1"/>
  <c r="G587" i="4" s="1"/>
  <c r="G588" i="4" a="1"/>
  <c r="G588" i="4" s="1"/>
  <c r="G589" i="4" a="1"/>
  <c r="G589" i="4" s="1"/>
  <c r="G590" i="4" a="1"/>
  <c r="G590" i="4" s="1"/>
  <c r="G591" i="4" a="1"/>
  <c r="G591" i="4" s="1"/>
  <c r="G592" i="4" a="1"/>
  <c r="G592" i="4" s="1"/>
  <c r="G593" i="4" a="1"/>
  <c r="G593" i="4" s="1"/>
  <c r="G594" i="4" a="1"/>
  <c r="G594" i="4" s="1"/>
  <c r="G595" i="4" a="1"/>
  <c r="G595" i="4" s="1"/>
  <c r="G596" i="4" a="1"/>
  <c r="G596" i="4" s="1"/>
  <c r="G597" i="4" a="1"/>
  <c r="G597" i="4" s="1"/>
  <c r="G598" i="4" a="1"/>
  <c r="G598" i="4" s="1"/>
  <c r="G599" i="4" a="1"/>
  <c r="G599" i="4" s="1"/>
  <c r="G600" i="4" a="1"/>
  <c r="G600" i="4" s="1"/>
  <c r="G601" i="4" a="1"/>
  <c r="G601" i="4" s="1"/>
  <c r="G602" i="4" a="1"/>
  <c r="G602" i="4" s="1"/>
  <c r="G603" i="4" a="1"/>
  <c r="G603" i="4" s="1"/>
  <c r="G604" i="4" a="1"/>
  <c r="G604" i="4" s="1"/>
  <c r="G605" i="4" a="1"/>
  <c r="G605" i="4" s="1"/>
  <c r="G606" i="4" a="1"/>
  <c r="G606" i="4" s="1"/>
  <c r="G607" i="4" a="1"/>
  <c r="G607" i="4" s="1"/>
  <c r="G608" i="4" a="1"/>
  <c r="G608" i="4" s="1"/>
  <c r="G609" i="4" a="1"/>
  <c r="G609" i="4" s="1"/>
  <c r="G610" i="4" a="1"/>
  <c r="G610" i="4" s="1"/>
  <c r="G611" i="4" a="1"/>
  <c r="G611" i="4" s="1"/>
  <c r="G612" i="4" a="1"/>
  <c r="G612" i="4" s="1"/>
  <c r="G613" i="4" a="1"/>
  <c r="G613" i="4" s="1"/>
  <c r="G614" i="4" a="1"/>
  <c r="G614" i="4" s="1"/>
  <c r="G615" i="4" a="1"/>
  <c r="G615" i="4" s="1"/>
  <c r="G616" i="4" a="1"/>
  <c r="G616" i="4" s="1"/>
  <c r="G617" i="4" a="1"/>
  <c r="G617" i="4" s="1"/>
  <c r="G618" i="4" a="1"/>
  <c r="G618" i="4" s="1"/>
  <c r="G619" i="4" a="1"/>
  <c r="G619" i="4" s="1"/>
  <c r="G620" i="4" a="1"/>
  <c r="G620" i="4" s="1"/>
  <c r="G621" i="4" a="1"/>
  <c r="G621" i="4" s="1"/>
  <c r="G622" i="4" a="1"/>
  <c r="G622" i="4" s="1"/>
  <c r="G623" i="4" a="1"/>
  <c r="G623" i="4" s="1"/>
  <c r="G624" i="4" a="1"/>
  <c r="G624" i="4" s="1"/>
  <c r="G625" i="4" a="1"/>
  <c r="G625" i="4" s="1"/>
  <c r="G626" i="4" a="1"/>
  <c r="G626" i="4" s="1"/>
  <c r="G627" i="4" a="1"/>
  <c r="G627" i="4" s="1"/>
  <c r="G628" i="4" a="1"/>
  <c r="G628" i="4" s="1"/>
  <c r="G629" i="4" a="1"/>
  <c r="G629" i="4" s="1"/>
  <c r="G630" i="4" a="1"/>
  <c r="G630" i="4" s="1"/>
  <c r="G631" i="4" a="1"/>
  <c r="G631" i="4" s="1"/>
  <c r="G632" i="4" a="1"/>
  <c r="G632" i="4" s="1"/>
  <c r="G633" i="4" a="1"/>
  <c r="G633" i="4" s="1"/>
  <c r="G634" i="4" a="1"/>
  <c r="G634" i="4" s="1"/>
  <c r="G635" i="4" a="1"/>
  <c r="G635" i="4" s="1"/>
  <c r="G636" i="4" a="1"/>
  <c r="G636" i="4" s="1"/>
  <c r="G637" i="4" a="1"/>
  <c r="G637" i="4" s="1"/>
  <c r="G638" i="4" a="1"/>
  <c r="G638" i="4" s="1"/>
  <c r="G639" i="4" a="1"/>
  <c r="G639" i="4" s="1"/>
  <c r="G640" i="4" a="1"/>
  <c r="G640" i="4" s="1"/>
  <c r="G641" i="4" a="1"/>
  <c r="G641" i="4" s="1"/>
  <c r="G642" i="4" a="1"/>
  <c r="G642" i="4" s="1"/>
  <c r="G643" i="4" a="1"/>
  <c r="G643" i="4" s="1"/>
  <c r="G644" i="4" a="1"/>
  <c r="G644" i="4" s="1"/>
  <c r="G645" i="4" a="1"/>
  <c r="G645" i="4" s="1"/>
  <c r="G646" i="4" a="1"/>
  <c r="G646" i="4" s="1"/>
  <c r="G647" i="4" a="1"/>
  <c r="G647" i="4" s="1"/>
  <c r="G648" i="4" a="1"/>
  <c r="G648" i="4" s="1"/>
  <c r="G649" i="4" a="1"/>
  <c r="G649" i="4" s="1"/>
  <c r="G650" i="4" a="1"/>
  <c r="G650" i="4" s="1"/>
  <c r="G651" i="4" a="1"/>
  <c r="G651" i="4" s="1"/>
  <c r="G652" i="4" a="1"/>
  <c r="G652" i="4" s="1"/>
  <c r="G653" i="4" a="1"/>
  <c r="G653" i="4" s="1"/>
  <c r="G654" i="4" a="1"/>
  <c r="G654" i="4" s="1"/>
  <c r="G655" i="4" a="1"/>
  <c r="G655" i="4" s="1"/>
  <c r="G656" i="4" a="1"/>
  <c r="G656" i="4" s="1"/>
  <c r="G657" i="4" a="1"/>
  <c r="G657" i="4" s="1"/>
  <c r="G658" i="4" a="1"/>
  <c r="G658" i="4" s="1"/>
  <c r="G659" i="4" a="1"/>
  <c r="G659" i="4" s="1"/>
  <c r="G660" i="4" a="1"/>
  <c r="G660" i="4" s="1"/>
  <c r="G661" i="4" a="1"/>
  <c r="G661" i="4" s="1"/>
  <c r="G662" i="4" a="1"/>
  <c r="G662" i="4" s="1"/>
  <c r="G663" i="4" a="1"/>
  <c r="G663" i="4" s="1"/>
  <c r="G664" i="4" a="1"/>
  <c r="G664" i="4" s="1"/>
  <c r="G665" i="4" a="1"/>
  <c r="G665" i="4" s="1"/>
  <c r="G666" i="4" a="1"/>
  <c r="G666" i="4" s="1"/>
  <c r="G667" i="4" a="1"/>
  <c r="G667" i="4" s="1"/>
  <c r="G668" i="4" a="1"/>
  <c r="G668" i="4" s="1"/>
  <c r="G669" i="4" a="1"/>
  <c r="G669" i="4" s="1"/>
  <c r="G670" i="4" a="1"/>
  <c r="G670" i="4" s="1"/>
  <c r="G671" i="4" a="1"/>
  <c r="G671" i="4" s="1"/>
  <c r="G672" i="4" a="1"/>
  <c r="G672" i="4" s="1"/>
  <c r="G673" i="4" a="1"/>
  <c r="G673" i="4" s="1"/>
  <c r="G674" i="4" a="1"/>
  <c r="G674" i="4" s="1"/>
  <c r="G675" i="4" a="1"/>
  <c r="G675" i="4" s="1"/>
  <c r="G676" i="4" a="1"/>
  <c r="G676" i="4" s="1"/>
  <c r="G677" i="4" a="1"/>
  <c r="G677" i="4" s="1"/>
  <c r="G678" i="4" a="1"/>
  <c r="G678" i="4" s="1"/>
  <c r="G679" i="4" a="1"/>
  <c r="G679" i="4" s="1"/>
  <c r="G680" i="4" a="1"/>
  <c r="G680" i="4" s="1"/>
  <c r="G681" i="4" a="1"/>
  <c r="G681" i="4" s="1"/>
  <c r="G682" i="4" a="1"/>
  <c r="G682" i="4" s="1"/>
  <c r="G683" i="4" a="1"/>
  <c r="G683" i="4" s="1"/>
  <c r="G684" i="4" a="1"/>
  <c r="G684" i="4" s="1"/>
  <c r="G685" i="4" a="1"/>
  <c r="G685" i="4" s="1"/>
  <c r="G686" i="4" a="1"/>
  <c r="G686" i="4" s="1"/>
  <c r="G687" i="4" a="1"/>
  <c r="G687" i="4" s="1"/>
  <c r="G688" i="4" a="1"/>
  <c r="G688" i="4" s="1"/>
  <c r="G689" i="4" a="1"/>
  <c r="G689" i="4" s="1"/>
  <c r="G690" i="4" a="1"/>
  <c r="G690" i="4" s="1"/>
  <c r="G691" i="4" a="1"/>
  <c r="G691" i="4" s="1"/>
  <c r="G692" i="4" a="1"/>
  <c r="G692" i="4" s="1"/>
  <c r="G693" i="4" a="1"/>
  <c r="G693" i="4" s="1"/>
  <c r="G694" i="4" a="1"/>
  <c r="G694" i="4" s="1"/>
  <c r="G695" i="4" a="1"/>
  <c r="G695" i="4" s="1"/>
  <c r="G696" i="4" a="1"/>
  <c r="G696" i="4" s="1"/>
  <c r="G697" i="4" a="1"/>
  <c r="G697" i="4" s="1"/>
  <c r="G698" i="4" a="1"/>
  <c r="G698" i="4" s="1"/>
  <c r="G699" i="4" a="1"/>
  <c r="G699" i="4" s="1"/>
  <c r="G700" i="4" a="1"/>
  <c r="G700" i="4" s="1"/>
  <c r="G701" i="4" a="1"/>
  <c r="G701" i="4" s="1"/>
  <c r="G702" i="4" a="1"/>
  <c r="G702" i="4" s="1"/>
  <c r="G703" i="4" a="1"/>
  <c r="G703" i="4" s="1"/>
  <c r="G704" i="4" a="1"/>
  <c r="G704" i="4" s="1"/>
  <c r="G705" i="4" a="1"/>
  <c r="G705" i="4" s="1"/>
  <c r="G706" i="4" a="1"/>
  <c r="G706" i="4" s="1"/>
  <c r="G707" i="4" a="1"/>
  <c r="G707" i="4" s="1"/>
  <c r="G708" i="4" a="1"/>
  <c r="G708" i="4" s="1"/>
  <c r="G709" i="4" a="1"/>
  <c r="G709" i="4" s="1"/>
  <c r="G710" i="4" a="1"/>
  <c r="G710" i="4" s="1"/>
  <c r="G711" i="4" a="1"/>
  <c r="G711" i="4" s="1"/>
  <c r="G712" i="4" a="1"/>
  <c r="G712" i="4" s="1"/>
  <c r="G713" i="4" a="1"/>
  <c r="G713" i="4" s="1"/>
  <c r="G714" i="4" a="1"/>
  <c r="G714" i="4" s="1"/>
  <c r="G715" i="4" a="1"/>
  <c r="G715" i="4" s="1"/>
  <c r="G716" i="4" a="1"/>
  <c r="G716" i="4" s="1"/>
  <c r="G717" i="4" a="1"/>
  <c r="G717" i="4" s="1"/>
  <c r="G718" i="4" a="1"/>
  <c r="G718" i="4" s="1"/>
  <c r="G719" i="4" a="1"/>
  <c r="G719" i="4" s="1"/>
  <c r="G720" i="4" a="1"/>
  <c r="G720" i="4" s="1"/>
  <c r="G721" i="4" a="1"/>
  <c r="G721" i="4" s="1"/>
  <c r="G722" i="4" a="1"/>
  <c r="G722" i="4" s="1"/>
  <c r="G723" i="4" a="1"/>
  <c r="G723" i="4" s="1"/>
  <c r="G724" i="4" a="1"/>
  <c r="G724" i="4" s="1"/>
  <c r="G725" i="4" a="1"/>
  <c r="G725" i="4" s="1"/>
  <c r="G726" i="4" a="1"/>
  <c r="G726" i="4" s="1"/>
  <c r="G727" i="4" a="1"/>
  <c r="G727" i="4" s="1"/>
  <c r="G728" i="4" a="1"/>
  <c r="G728" i="4" s="1"/>
  <c r="G729" i="4" a="1"/>
  <c r="G729" i="4" s="1"/>
  <c r="G730" i="4" a="1"/>
  <c r="G730" i="4" s="1"/>
  <c r="G731" i="4" a="1"/>
  <c r="G731" i="4" s="1"/>
  <c r="G732" i="4" a="1"/>
  <c r="G732" i="4" s="1"/>
  <c r="G733" i="4" a="1"/>
  <c r="G733" i="4" s="1"/>
  <c r="G734" i="4" a="1"/>
  <c r="G734" i="4" s="1"/>
  <c r="G735" i="4" a="1"/>
  <c r="G735" i="4" s="1"/>
  <c r="G736" i="4" a="1"/>
  <c r="G736" i="4" s="1"/>
  <c r="G737" i="4" a="1"/>
  <c r="G737" i="4" s="1"/>
  <c r="G738" i="4" a="1"/>
  <c r="G738" i="4" s="1"/>
  <c r="G739" i="4" a="1"/>
  <c r="G739" i="4" s="1"/>
  <c r="G740" i="4" a="1"/>
  <c r="G740" i="4" s="1"/>
  <c r="G741" i="4" a="1"/>
  <c r="G741" i="4" s="1"/>
  <c r="G742" i="4" a="1"/>
  <c r="G742" i="4" s="1"/>
  <c r="G743" i="4" a="1"/>
  <c r="G743" i="4" s="1"/>
  <c r="G744" i="4" a="1"/>
  <c r="G744" i="4" s="1"/>
  <c r="G745" i="4" a="1"/>
  <c r="G745" i="4" s="1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M45" i="7" l="1"/>
  <c r="F403" i="4" l="1"/>
  <c r="F404" i="4" s="1"/>
  <c r="F398" i="4"/>
  <c r="F399" i="4" s="1"/>
  <c r="F400" i="4" s="1"/>
  <c r="E403" i="4"/>
  <c r="E404" i="4" s="1"/>
  <c r="E398" i="4"/>
  <c r="E399" i="4" s="1"/>
  <c r="E40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Julian Alba Gualteros</author>
    <author>JULIÁN ALBA</author>
  </authors>
  <commentList>
    <comment ref="S14" authorId="0" shapeId="0" xr:uid="{6100B590-361D-4F55-B106-FA71C2A72EDD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Información del estudiante a quien se le realiza la homologación o reconocimiento de créditos.
La secretaría de división presenta el acta al estudiante, quien con su firma en la presente acta acepta la homologación o reconocimiento de créditos y reconoce que no podrá adelantar procesos posteriores de este tipo.
Si el estudiante hace alguna observación, la secretaría de división la consigna en el acta y realiza la respectiva consulta con la persona que proyectó el acta.</t>
        </r>
      </text>
    </comment>
    <comment ref="AM14" authorId="0" shapeId="0" xr:uid="{66D1CC13-4F6A-4D6E-90E8-23A9B3512307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Información de la persona encargada de realizar el registro del acta en el sistema académico de la USTA.</t>
        </r>
      </text>
    </comment>
    <comment ref="E20" authorId="0" shapeId="0" xr:uid="{2D235747-0F14-40CE-86CD-33CF591D28EC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Escribir nombre completo del estudiante.</t>
        </r>
      </text>
    </comment>
    <comment ref="K22" authorId="0" shapeId="0" xr:uid="{44E7891C-B1A0-4F43-99FA-606380464EDD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Escribir número de identificación sin puntos.</t>
        </r>
      </text>
    </comment>
    <comment ref="T23" authorId="1" shapeId="0" xr:uid="{6B9FDA64-C3AD-4457-9957-0CC3FC87DE67}">
      <text>
        <r>
          <rPr>
            <b/>
            <sz val="9"/>
            <color indexed="81"/>
            <rFont val="Tahoma"/>
            <family val="2"/>
          </rPr>
          <t xml:space="preserve">Andres Julian Alba Gualteros:
</t>
        </r>
        <r>
          <rPr>
            <sz val="9"/>
            <color indexed="81"/>
            <rFont val="Tahoma"/>
            <family val="2"/>
          </rPr>
          <t>Fecha en la cual firma el estudiante en aceptación del acta de homologación o reconocimiento de créditos.</t>
        </r>
      </text>
    </comment>
    <comment ref="AN23" authorId="1" shapeId="0" xr:uid="{361BBFC0-AA3B-4EEE-98CE-399359558019}">
      <text>
        <r>
          <rPr>
            <b/>
            <sz val="9"/>
            <color indexed="81"/>
            <rFont val="Tahoma"/>
            <family val="2"/>
          </rPr>
          <t xml:space="preserve">Andres Julian Alba Gualteros:
</t>
        </r>
        <r>
          <rPr>
            <sz val="9"/>
            <color indexed="81"/>
            <rFont val="Tahoma"/>
            <family val="2"/>
          </rPr>
          <t>Fecha en la cual se registra el acta en el sistema académico de la USTA.</t>
        </r>
      </text>
    </comment>
    <comment ref="E29" authorId="1" shapeId="0" xr:uid="{74221372-6E15-403A-991D-A35C223FA1F0}">
      <text>
        <r>
          <rPr>
            <b/>
            <sz val="9"/>
            <color indexed="81"/>
            <rFont val="Tahoma"/>
            <family val="2"/>
          </rPr>
          <t xml:space="preserve">Andres Julian Alba Gualteros:
</t>
        </r>
        <r>
          <rPr>
            <sz val="9"/>
            <color indexed="81"/>
            <rFont val="Tahoma"/>
            <family val="2"/>
          </rPr>
          <t>La Institución de Educación Superior de origen es el lugar del cual viene el estudiante.
Escribir el nombre completo de la institución.
Este espacio se diligencia para transferencias externas y doble titulación.
En los casos de movilidad saliente nacional o internacional, la USTA es la universidad de origen.
En los casos de movilidad y transferencias internas USTA Colombia, se debe diligenciar para identificar a cuál sede, seccional o centro de atención universitario corresponde el estudiante.
En caso de: transferencias externas, movilidad saliente, sígueme tomasino, transferencias internas y doble titulación.</t>
        </r>
      </text>
    </comment>
    <comment ref="K29" authorId="1" shapeId="0" xr:uid="{9A94BF97-E890-485C-9376-C044D129C161}">
      <text>
        <r>
          <rPr>
            <b/>
            <sz val="9"/>
            <color indexed="81"/>
            <rFont val="Tahoma"/>
            <family val="2"/>
          </rPr>
          <t xml:space="preserve">Andres Julian Alba Gualteros:
</t>
        </r>
        <r>
          <rPr>
            <sz val="9"/>
            <color indexed="81"/>
            <rFont val="Tahoma"/>
            <family val="2"/>
          </rPr>
          <t>La Institución de Educación Superior de destino es el lugar al cual llega el estudiante.
Escribir el nombre completo de la institución.
En los casos de movilidad y transferencias internas USTA Colombia, se debe diligenciar para identificar de cuál sede, seccional o centro de atención universitario llega el estudiante.
Universidad destino se diligencia en caso de: movilidad saliente, sígueme tomasino, transferencias internas  y doble titulación.</t>
        </r>
      </text>
    </comment>
    <comment ref="E37" authorId="0" shapeId="0" xr:uid="{4727941B-E268-4E91-A4B0-95E65653905F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Escribir el nombre completo del programa que corresponde a la Institución de Educación Superior de origen.
(Se diligencia en todos los casos).</t>
        </r>
      </text>
    </comment>
    <comment ref="K37" authorId="0" shapeId="0" xr:uid="{E5B27F75-432D-4A6E-B303-E64DC6C36C64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Escribir el nombre completo del programa que corresponde a la Institución de Educación Superior de destino.</t>
        </r>
      </text>
    </comment>
    <comment ref="E39" authorId="0" shapeId="0" xr:uid="{37E509BA-0DBE-4B48-BAED-23BD0585C6A0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Escribir el plan de estudio de origen que corresponde al del programa de origen. </t>
        </r>
      </text>
    </comment>
    <comment ref="K39" authorId="0" shapeId="0" xr:uid="{6F7495C0-080A-4F4A-96A0-465A09A7BF83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Escribir el plan de estudio de destino que corresponde al del programa de destino. </t>
        </r>
      </text>
    </comment>
    <comment ref="M45" authorId="0" shapeId="0" xr:uid="{47705AAF-3A6F-4CDB-A77A-322CAB29DBDC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Se debe tener en cuenta el porcentaje de créditos que se pueden homologar de acuerdo con los reglamentos de la Universidad.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Julian Alba Gualteros</author>
  </authors>
  <commentList>
    <comment ref="E10" authorId="0" shapeId="0" xr:uid="{28EA338A-9C76-439B-BEEF-A195B54446B8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Información del estudiante a quien se le realiza la homologación o reconocimiento de créditos.
La secretaría de divisón presenta el acta al estudiante, quien con su firma en la presente acta acepta la homologación o reconocimiento de créditos y reconoce que no podrá adelantar procesos posteriores de este tipo.
Si el estudiante hace alguna observación, la secretaría de división la consigna en el acta y realiza la respectiva consulta con la persona que proyectó el acta.</t>
        </r>
      </text>
    </comment>
    <comment ref="Y10" authorId="0" shapeId="0" xr:uid="{BA9F5CAA-1A3F-4BCE-AFA4-C79B2ACD6A82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Información de la persona encargada de realizar el registro del acta en el sistema académico de la USTA.</t>
        </r>
      </text>
    </comment>
    <comment ref="F17" authorId="0" shapeId="0" xr:uid="{923AA3EF-8075-4675-93E6-BECA06741012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Fecha en la cual firma el estudiante en aceptación del acta de homologación o reconocimiento de créditos.</t>
        </r>
      </text>
    </comment>
    <comment ref="Z17" authorId="0" shapeId="0" xr:uid="{0CA3D788-6E75-4ADB-AA7D-7E050257F25F}">
      <text>
        <r>
          <rPr>
            <b/>
            <sz val="9"/>
            <color indexed="81"/>
            <rFont val="Tahoma"/>
            <family val="2"/>
          </rPr>
          <t>Andres Julian Alba Gualteros:</t>
        </r>
        <r>
          <rPr>
            <sz val="9"/>
            <color indexed="81"/>
            <rFont val="Tahoma"/>
            <family val="2"/>
          </rPr>
          <t xml:space="preserve">
Fecha en la cual se registra el acta en el sistema académico de la USTA.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<sst xmlns="http://schemas.openxmlformats.org/spreadsheetml/2006/main" count="6234" uniqueCount="1362">
  <si>
    <t>Nota: si se requiere, ajuste el área de impresión (Ficha Vista/Ver. Salt. Pág.) arrastrando el margen inferior de la hoja (página 1).</t>
  </si>
  <si>
    <t>Los documentos que hacen parte de esta acta son: contenidos analíticos, certificados de notas, histórico de notas registras en el SAC y otros que se consideren necesarios. Esta acta debe ser archivada en la hoja de vida del estudiante y cargada en el sistema académico de la USTA o en el sistema de movilidad.</t>
  </si>
  <si>
    <t>Estudiante</t>
  </si>
  <si>
    <t>Secretario(a) de División</t>
  </si>
  <si>
    <t>Fecha</t>
  </si>
  <si>
    <t xml:space="preserve">Firma: </t>
  </si>
  <si>
    <t xml:space="preserve">Nombre del estudiante: </t>
  </si>
  <si>
    <t>Nivel de Formación</t>
  </si>
  <si>
    <t>Nombre:</t>
  </si>
  <si>
    <t>Tipo de documento:</t>
  </si>
  <si>
    <t>N°</t>
  </si>
  <si>
    <t>DD</t>
  </si>
  <si>
    <t>MM</t>
  </si>
  <si>
    <t>AA</t>
  </si>
  <si>
    <t>Fecha:</t>
  </si>
  <si>
    <t>Tipo de homologación o reconocimiento de créditos</t>
  </si>
  <si>
    <t>Observaciones*</t>
  </si>
  <si>
    <t xml:space="preserve">Institución de Educación Superior de origen: </t>
  </si>
  <si>
    <t xml:space="preserve">Institución de Educación Superior de destino: </t>
  </si>
  <si>
    <t>Ciudad</t>
  </si>
  <si>
    <t>País</t>
  </si>
  <si>
    <t>Programa de origen:</t>
  </si>
  <si>
    <t>Programa de destino:</t>
  </si>
  <si>
    <t>Plan de origen:</t>
  </si>
  <si>
    <t>Plan de destino:</t>
  </si>
  <si>
    <t>Número total de créditos del programa destino:</t>
  </si>
  <si>
    <r>
      <rPr>
        <b/>
        <sz val="12"/>
        <color theme="1"/>
        <rFont val="Tahoma"/>
        <family val="2"/>
      </rPr>
      <t>NOTA:</t>
    </r>
    <r>
      <rPr>
        <sz val="12"/>
        <color theme="1"/>
        <rFont val="Tahoma"/>
        <family val="2"/>
      </rPr>
      <t xml:space="preserve"> El estudiante, con su firma en la presente acta acepta la homologación o reconocimiento de créditos y reconoce que no podrá adelantar procesos posteriores de este tipo.</t>
    </r>
  </si>
  <si>
    <t>Número total de créditos homologados o reconocidos en el programa destino:</t>
  </si>
  <si>
    <t>*Cuando se trate de homologación de posgrado, en el espacio observaciones se debe incluir el número del acta del Comité de Posgrado en la cual fue aprobada.</t>
  </si>
  <si>
    <t>PROGRAMA DE ORIGEN</t>
  </si>
  <si>
    <t>PROGRAMA DE DESTINO</t>
  </si>
  <si>
    <t>CÓDIGO</t>
  </si>
  <si>
    <t>ESPACIO ACADÉMICO</t>
  </si>
  <si>
    <t>ESPACIO ACADÉMICO DESTINO</t>
  </si>
  <si>
    <t>CR</t>
  </si>
  <si>
    <t>NOTA</t>
  </si>
  <si>
    <t>NIVEL</t>
  </si>
  <si>
    <t>PROGRAMA ORIGEN</t>
  </si>
  <si>
    <t>CÓDIGO2</t>
  </si>
  <si>
    <t>CRÉDITOS D</t>
  </si>
  <si>
    <t>PROGRAMA DESTINO</t>
  </si>
  <si>
    <t>PROGRAMAS ORIGEN</t>
  </si>
  <si>
    <t>PROGRAMAS DESTINO</t>
  </si>
  <si>
    <t>CRÉDITOS</t>
  </si>
  <si>
    <t>PROGRAMA</t>
  </si>
  <si>
    <t>NIVELES DE FORMACIÓN</t>
  </si>
  <si>
    <t>FORMACIÓN</t>
  </si>
  <si>
    <t>OPC</t>
  </si>
  <si>
    <t>PÉNSUM</t>
  </si>
  <si>
    <t>TIPO DE DOCUMENTO</t>
  </si>
  <si>
    <t>GESTIÓN DE RECURSOS NATURALES</t>
  </si>
  <si>
    <t>EFECTUAR EL DIAGNÓSTICO AMBIENTAL DE LOS RECURSOS NATURALES RENOVABLES DE ACUERDO CON LAS METODOLOGÍAS Y PROCEDIMIENTOS ESTABLECIDOS.</t>
  </si>
  <si>
    <t>FUNDAMENTOS AMBIENTALES</t>
  </si>
  <si>
    <t>ADMINISTRACIÓN AMBIENTAL Y DE LOS RECURSOS NATURALES</t>
  </si>
  <si>
    <t>ACTIVIDAD FÍSICA</t>
  </si>
  <si>
    <t>TECNÓLOGO</t>
  </si>
  <si>
    <t>COMUNICACIÓN ORAL Y ESCRITA</t>
  </si>
  <si>
    <t>TÉCNICO</t>
  </si>
  <si>
    <t>Co Terminal</t>
  </si>
  <si>
    <t>Pregrado</t>
  </si>
  <si>
    <t>N/A</t>
  </si>
  <si>
    <t>Cédula de Ciudadania</t>
  </si>
  <si>
    <t>CARTOGRAFÍA BÁSICA Y DIGITAL</t>
  </si>
  <si>
    <t>ACTIVIDAD FÍSICA II</t>
  </si>
  <si>
    <t>CONTROL AMBIENTAL</t>
  </si>
  <si>
    <t>ADMINISTRACIÓN DE EMPRESAS</t>
  </si>
  <si>
    <t>INGLÉS I</t>
  </si>
  <si>
    <t>Doble Programa</t>
  </si>
  <si>
    <t>Posgrado</t>
  </si>
  <si>
    <t>Cédula de Extranjería</t>
  </si>
  <si>
    <t>FUNDAMENTOS DE ECOLOGÍA (AARN)</t>
  </si>
  <si>
    <t>ACUICULTURA</t>
  </si>
  <si>
    <t xml:space="preserve">SISTEMAS DE GESTIÓN AMBIENTAL </t>
  </si>
  <si>
    <t xml:space="preserve">CONSTRUCCIÓN EN ARQUITECTURA E INGENIERÍA </t>
  </si>
  <si>
    <t>MATEMÁTICAS I (CALCULO DIFERENCIAL)</t>
  </si>
  <si>
    <t>Doble Titulación</t>
  </si>
  <si>
    <t>Nit</t>
  </si>
  <si>
    <t>INTRODUCCIÓN A CUENCAS HIDROGRÁFICAS</t>
  </si>
  <si>
    <t>AGUA Y SANEAMIENTO</t>
  </si>
  <si>
    <t>MANEJO Y APROVECHAMIENTO DE BOSQUES NATURALES</t>
  </si>
  <si>
    <t>CULTURA FÍSICA, DEPORTE Y RECREACIÓN</t>
  </si>
  <si>
    <t xml:space="preserve">Movilidad Saliente </t>
  </si>
  <si>
    <t>Pasaporte</t>
  </si>
  <si>
    <t>RECURSOS ABIÓTICO I</t>
  </si>
  <si>
    <t>ANÁLISIS Y DESARROLLO DE SISTEMAS DE INFORMACIÓN</t>
  </si>
  <si>
    <t>INGENIERÍA AMBIENTAL</t>
  </si>
  <si>
    <t>BASES QUÍMICAS DEL AMBIENTE</t>
  </si>
  <si>
    <t>Sígueme Tomasino</t>
  </si>
  <si>
    <t>Registro Civil de Nacimiento</t>
  </si>
  <si>
    <t>APOYAR LA FORMULACIÓN DEL PLAN DE ORDENAMIENTO Y MANEJO DEL ECOSISTEMA DE ACUERDO CON LOS PROCEDIMIENTOS ESTABLECIDOS Y LA NORMATIVIDAD VIGENTE.</t>
  </si>
  <si>
    <t>LEGISLACIÓN AMBIENTAL</t>
  </si>
  <si>
    <t>ASESORIA COMERCIAL Y OPERACIONES DE ENTIDADES FINANCIERAS</t>
  </si>
  <si>
    <t xml:space="preserve">CONSERVACIÓN DE RECURSOS NATURALES </t>
  </si>
  <si>
    <t>INGENIERÍA CIVIL</t>
  </si>
  <si>
    <t>PENSAMIENTO ADMINISTRATIVO</t>
  </si>
  <si>
    <t>Transferencia Externa</t>
  </si>
  <si>
    <t>Tarjeta de Extranjería</t>
  </si>
  <si>
    <t>GESTIÓN DE PROYECTOS AMBIENTALES</t>
  </si>
  <si>
    <t>ASISTENCIA ADMINISTRATIVA</t>
  </si>
  <si>
    <t xml:space="preserve">MANEJO AMBIENTAL </t>
  </si>
  <si>
    <t>INGENIERÍA EN INFORMATICA</t>
  </si>
  <si>
    <t>FILOSOFÍA INSTITUCIONAL</t>
  </si>
  <si>
    <t>Transferencia Interna</t>
  </si>
  <si>
    <t>Tarjeta de Indentidad</t>
  </si>
  <si>
    <t>PROFUNDIZACIÓN I MANEJO DE ÁREAS NATURALES (16972)</t>
  </si>
  <si>
    <t>ATENCIÓN INTEGRAL A LA PRIMERA INFANCIA</t>
  </si>
  <si>
    <t>BIOCOMERCIO SOSTENIBLE</t>
  </si>
  <si>
    <t>INGENIERÍA EN LOGÍSTICA Y OPERACIONES</t>
  </si>
  <si>
    <t>INGLÉS II</t>
  </si>
  <si>
    <t>Transición Plan de Estudio</t>
  </si>
  <si>
    <t>EVALUACIÓN DE IMPACTO AMBIENTAL</t>
  </si>
  <si>
    <t>GESTIÓN INTEGRADA DE LA CALIDAD, MEDIO AMBIENTE, SEGURIDAD Y SALUD OCUPACIONAL</t>
  </si>
  <si>
    <t>LICENCIATURA EN EDUCACIÓN INFANTIL</t>
  </si>
  <si>
    <t>PROFUNDIZACIÓN III PLANES DE ORDENAMIENTO TERRITORIAL Y PROSPECTIVA (48201)</t>
  </si>
  <si>
    <t>COMERCIO INTERNACIONAL</t>
  </si>
  <si>
    <t>PREVENCIÓN Y CONTROL AMBIENTAL</t>
  </si>
  <si>
    <t>ZOOTECNIA</t>
  </si>
  <si>
    <t>MATEMÁTICAS II (CALCULO INTEGRAL)</t>
  </si>
  <si>
    <t xml:space="preserve">IMPLEMENTAR PRÁCTICAS DE MANEJO Y CONSERVACIÓN DE SUELOS, APLICANDO CRITERIOS TÉCNICOS Y NORMATIVIDAD VIGENTE. </t>
  </si>
  <si>
    <t>RECURSOS ABIÓTICO II</t>
  </si>
  <si>
    <t>RIEGO Y ADECUACIÓN DE TIERRAS</t>
  </si>
  <si>
    <t>PROCESO ADMINISTRATIVO</t>
  </si>
  <si>
    <t>GESTIÓN DEL RIESGO</t>
  </si>
  <si>
    <t xml:space="preserve">CONSTRUCCIÓN DE EDIFICACIONES </t>
  </si>
  <si>
    <t>CONTABILIDAD Y FINANZAS</t>
  </si>
  <si>
    <t xml:space="preserve"> REALIZAR PROGRAMAS DE SANEAMIENTO AMBIENTAL BÁSICO, APLICANDO LA NORMATIVIDAD VIGENTE Y LOS PROCEDIMIENTOS TÉCNICOS ESTABLECIDOS. </t>
  </si>
  <si>
    <t>TALLER COMUNITARIO AMBIENTAL</t>
  </si>
  <si>
    <t>CONSTRUCCIÓN DE EDIFICACIONES TÉCNICO</t>
  </si>
  <si>
    <t>OPCIONAL COMPLEMENTARIA</t>
  </si>
  <si>
    <t>DESARROLLO SOSTENIBLE</t>
  </si>
  <si>
    <t>CONSTRUCCIÓN DE VÍAS</t>
  </si>
  <si>
    <t xml:space="preserve">ENTRENAMIENTO DEPORTIVO </t>
  </si>
  <si>
    <t xml:space="preserve">DESARROLLAR ESTRATEGIAS PARA EL MANEJO Y CONSERVACIÓN DE LA FLORA SILVESTRE, DE ACUERDO CON LOS PROCEDIMIENTOS ESTABLECIDOS Y LA NORMATIVIDAD VIGENTE. </t>
  </si>
  <si>
    <t>RECURSOS BIÓTICOS</t>
  </si>
  <si>
    <t>CONTABILIZACIÓN DE OPERACIONES COMERCIALES Y FINANCIERAS</t>
  </si>
  <si>
    <t>EJECUCIÓN DE CLASES GRUPALES ORIENTADAS AL FITNESS</t>
  </si>
  <si>
    <t>ANTROPOLOGÍA</t>
  </si>
  <si>
    <t>PROFUNDIZACIÓN IV-CONSERVACIÓN Y RESTAURACIÓN ECOLÓGICA (48202)</t>
  </si>
  <si>
    <t>JUZGAMIENTO Y REGLAMENTACIÓN DEPORTIVA</t>
  </si>
  <si>
    <t>INGLÉS III</t>
  </si>
  <si>
    <t>PROFUNDIZACIÓN II TECNOLOGÍAS LIMPIAS (16392)</t>
  </si>
  <si>
    <t>DIRECCIÓN DE VENTAS</t>
  </si>
  <si>
    <t>RECREACIÓN</t>
  </si>
  <si>
    <t>MICROECONOMÍA</t>
  </si>
  <si>
    <t>PROMOVER LA INTERACCIÓN IDÓNEA CONSIGO MISMO, CON LOS DEMÁS Y CON LA NATURALEZA EN LOS CONTEXTOS LABORAL Y SOCIAL</t>
  </si>
  <si>
    <t>DISTRIBUCIÓN FÍSICA INTERNACIONAL</t>
  </si>
  <si>
    <t>GESTIÓN DE SERVICIOS RECREATIVOS</t>
  </si>
  <si>
    <t>SALUD AMBIENTAL Y PARTICIPACIÓN COMUNITARIA</t>
  </si>
  <si>
    <t>APLICAR MICROORGANISMOS EN PROCESOS DE DESCONTAMINACIÓN AMBIENTAL</t>
  </si>
  <si>
    <t>RECREACIÓN COMUNITARIA</t>
  </si>
  <si>
    <t>ESTADÍSTICA I (DESCRIPTIVA)</t>
  </si>
  <si>
    <t>EJECUCION DE EVENTOS DEPORTIVOS Y RECREATIVOS</t>
  </si>
  <si>
    <t>EJECUCION DE PROGRAMAS DEPORTIVOS</t>
  </si>
  <si>
    <t>COSTOS Y PRESUPUESTOS</t>
  </si>
  <si>
    <t>GESTIÓN ADMINISTRATIVA</t>
  </si>
  <si>
    <t>OBRAS CIVILES</t>
  </si>
  <si>
    <t>SISTEMAS DE INFORMACIÓN GEOGRÁFICA</t>
  </si>
  <si>
    <t>CONTROLAR LAS EMISIONES RESULTANTES DE PROCESOS Y OPERACIONES PRODUCTIVAS DE ACUERDO CON LA NORMATIVIDAD AMBIENTAL ESTABLECIDA</t>
  </si>
  <si>
    <t>GESTIÓN BANCARIA Y ENTIDADES FINANCIERAS</t>
  </si>
  <si>
    <t>TOPOGRAFÍA</t>
  </si>
  <si>
    <t>EPISTEMOLOGÍA</t>
  </si>
  <si>
    <t>CARACTERIZAR FÍSICA, QUÍMICA Y MICROBIO LÓGICAMENTE EL AGUA EN LOS PROCESOS DE TRATAMIENTO</t>
  </si>
  <si>
    <t>GESTIÓN DE EMPRESAS AGROPECUARIAS</t>
  </si>
  <si>
    <t>INGLÉS IV</t>
  </si>
  <si>
    <t>GESTIÓN DE LA PRODUCCIÓN INDUSTRIAL</t>
  </si>
  <si>
    <t>MACROECONOMÍA</t>
  </si>
  <si>
    <t xml:space="preserve">EVALUAR EL IMPACTO AMBIENTAL EN ACTIVIDADES, PRODUCTOS Y SERVICIOS DE ACUERDO CON LA NORMATIVIDAD LEGAL VIGENTE. </t>
  </si>
  <si>
    <t>GESTIÓN DE MERCADOS</t>
  </si>
  <si>
    <t>PROFUNDIZACIÓN V MANEJO INTEGRADO DEL MEDIO AMBIENTE (73337)</t>
  </si>
  <si>
    <t>GESTIÓN DE NEGOCIOS FIDUCIARIOS</t>
  </si>
  <si>
    <t>GESTIÓN DE REDES DE DATOS</t>
  </si>
  <si>
    <t>CREATIVIDAD Y EMPRENDIMIENTO</t>
  </si>
  <si>
    <t xml:space="preserve">ORGANIZAR PLANES DE EDUCACIÓN AMBIENTAL DE ACUERDO CON REQUERIMIENTOS ESTABLECIDOS
</t>
  </si>
  <si>
    <t xml:space="preserve">GESTIÓN DE RECURSOS EN PLANTAS DE  PRODUCCIÓN </t>
  </si>
  <si>
    <t>INSTALACIÓN DE REDES DE COMPUTADORES</t>
  </si>
  <si>
    <t>TRABAJO DE CAMPO I</t>
  </si>
  <si>
    <t>MANTENIMIENTO DE EQUIPOS DE COMPUTO</t>
  </si>
  <si>
    <t>POLÍTICAS Y MARCO JURÍDICO GLOBAL PARA EL DESARROLLO</t>
  </si>
  <si>
    <t>AUDITAR EL SISTEMA DE GESTIÓN AMBIENTAL APLICANDO EL PROCEDIMIENTO ESTABLECIDO.</t>
  </si>
  <si>
    <t>SISTEMAS INTEGRADOS DE GESTIÓN</t>
  </si>
  <si>
    <t>PROGRAMACIÓN DE SOFTWARE</t>
  </si>
  <si>
    <t>TRATAR LOS RESIDUOS SÓLIDOS CON BASE EN PARÁMETROS TÉCNICO AMBIENTALES VIGENTES.</t>
  </si>
  <si>
    <t>PROFUNDIZACIÓN III GESTIÓN DE RESIDUOS (48213)</t>
  </si>
  <si>
    <t>PROGRAMACIÓN PARA ANALÍTICA DE DATOS</t>
  </si>
  <si>
    <t>CULTURA TEOLÓGICA</t>
  </si>
  <si>
    <t>GESTIÓN DE TALENTO HUMANO</t>
  </si>
  <si>
    <t>SISTEMAS</t>
  </si>
  <si>
    <t>ESTRUCTURAR SISTEMAS DE GESTIÓN AMBIENTAL SIGUIENDO NORMATIVIDAD AMBIENTAL.</t>
  </si>
  <si>
    <t>GESTIÓN DOCUMENTAL</t>
  </si>
  <si>
    <t>PROGRAMACIÓN DE APLICACIONES Y SERVICIOS PARA LA NUBE</t>
  </si>
  <si>
    <t>GESTIÓN EMPRESARIAL</t>
  </si>
  <si>
    <t>PROGRAMACIÓN DE APLICACIONES PARA DISPOSITIVOS MOVILES</t>
  </si>
  <si>
    <t>ADMINISTRAR EL TALENTO HUMANO SEGÚN LOS PROCESOS PRODUCTIVOS Y LAS POLÍTICAS DE LA EMPRESA ADMINISTRAR LOS RECURSOS</t>
  </si>
  <si>
    <t>GESTIÓN HOTELERA</t>
  </si>
  <si>
    <t>GESTIÓN LOGÍSTICA</t>
  </si>
  <si>
    <t>ESTRATEGIA Y PROSPECTIVA AMBIENTAL</t>
  </si>
  <si>
    <t xml:space="preserve">ADMINISTRAR LOS RECURSOS ASIGNADOS PARA LA EJECUCIÓN DE LA OPERACIÓN CONFORME A ESTÁNDARES ESTABLECIDOS. </t>
  </si>
  <si>
    <t>LOGÍSTICA DEL TRANSPORTE</t>
  </si>
  <si>
    <t>CAMBIO CLIMÁTICO</t>
  </si>
  <si>
    <t>NEGOCIACIÓN INTERNACIONAL</t>
  </si>
  <si>
    <t>RESPONSABILIDAD SOCIAL PARA EL DESARROLLO SOSTENIBLE</t>
  </si>
  <si>
    <t>INGLÉS V</t>
  </si>
  <si>
    <t>FILOSOFÍA POLÍTICA</t>
  </si>
  <si>
    <t>ORGANIZAR PLANES DE EDUCACIÓN AMBIENTAL DE ACUERDO CON REQUERIMIENTOS ESTABLECIDOS</t>
  </si>
  <si>
    <t>MANEJO EMPRESARIAL DE LA FINCA</t>
  </si>
  <si>
    <t xml:space="preserve">MINIMIZAR LOS EFECTOS DE LAS AMENAZAS DE ORIGEN NATURAL TECNOLÓGICO Y ANTRÓPICO MEDIANTE LA PREVENCIÓN Y EL CONTROL DE RIESGOS ASOCIADOS. </t>
  </si>
  <si>
    <t>PRODUCCIÓN ACUICOLA</t>
  </si>
  <si>
    <t>TRABAJO DE CAMPO II</t>
  </si>
  <si>
    <t>PRODUCCIÓN AGROPECUARIA</t>
  </si>
  <si>
    <t>ECONOMÍA AMBIENTAL Y RECURSOS NATURALES</t>
  </si>
  <si>
    <t>CARACTERIZAR LAS ZONAS DE INTERÉS FORESTAL DE ACUERDO CON LOS CRITERIOS TÉCNICOS, ECONÓMICOS, SOCIALES Y AMBIENTALES</t>
  </si>
  <si>
    <t>PRODUCCIÓN DE OVINOS Y CAPRINOS</t>
  </si>
  <si>
    <t>PRODUCCIÓN EQUINA</t>
  </si>
  <si>
    <t>INGLÉS VI</t>
  </si>
  <si>
    <t>ÉTICA</t>
  </si>
  <si>
    <t>COORDINAR LAS OPERACIONES FORESTALES DE ACUERDO CON LOS PROCEDIMIENTOS, NORMAS Y/O PLANES ESTABLECIDOS</t>
  </si>
  <si>
    <t>PRODUCCIÓN PECUARIA</t>
  </si>
  <si>
    <t>CATEDRA OPCIONAL</t>
  </si>
  <si>
    <t>PRODUCCIÓN PORCINA</t>
  </si>
  <si>
    <t>MANEJAR LOS CULTIVOS CON CRITERIOS ECOLÓGICOS Y TÉCNICOS DE SANIDAD Y NUTRICIÓN.</t>
  </si>
  <si>
    <t>PRODUCCIÓN DE CONEJOS Y CUYES</t>
  </si>
  <si>
    <t>PRODUCCIÓN SOSTENIBLE DE PECES ORNAMENTALES</t>
  </si>
  <si>
    <t>PRODUCCIÓN DE ESPECIES MENORES</t>
  </si>
  <si>
    <t>PROYECTOS AGROPECUARIOS</t>
  </si>
  <si>
    <t>RENEWABLE ENERGY</t>
  </si>
  <si>
    <t xml:space="preserve">DEFINIR ESTRATEGIAS PARA LA GESTIÓN Y EL DESARROLLO COMUNITARIO EN LAS REGIONES CAFETERAS </t>
  </si>
  <si>
    <t>PRODUCCIÓN GANADERA</t>
  </si>
  <si>
    <t>EFECTUAR LOS INVENTARIOS FORESTALES PARA EL ORDENAMIENTO DE LA PRODUCCIÓN
MADERERA.</t>
  </si>
  <si>
    <t>OPCIONES DE GRADO</t>
  </si>
  <si>
    <t>ELABORAR EL PLAN DE COMERCIALIZACIÓN DEL PRODUCTO ARTESANAL DE ACUERDO CON LAS TENDENCIAS DEL MERCADO</t>
  </si>
  <si>
    <t>PROFUNDIZACIÓN I MERCADOS VERDES Y ECOTURISMO (48203)</t>
  </si>
  <si>
    <t>INTRODUCCIÓN A LA CONSTRUCCIÓN</t>
  </si>
  <si>
    <t>REPRESENTACIÓN GRÁFICA</t>
  </si>
  <si>
    <t>MATEMÁTICAS FUNDAMENTALES</t>
  </si>
  <si>
    <t xml:space="preserve">CUMPLIR CON LOS REQUERIMIENTOS AMBIENTALES EN LA ZONA DE TRABAJO DE ACUERDO CON LAS POLÍTICAS DE LA EMPRESA
</t>
  </si>
  <si>
    <t>FÍSICA MECÁNICA</t>
  </si>
  <si>
    <t xml:space="preserve">PROCESAR LAS MUESTRAS DE AGUA DE ACUERDO CON LAS TÉCNICAS Y MÉTODOS ESTABLECIDOS
</t>
  </si>
  <si>
    <t>CÁTEDRA OPCIONAL INSTITUCIONAL</t>
  </si>
  <si>
    <t>MONITOREAR Y AJUSTAR LA OPERACIÓN DEL SISTEMA DE TRATAMIENTO DE AGUA</t>
  </si>
  <si>
    <t>ESTÁTICA</t>
  </si>
  <si>
    <t>CÁLCULO DIFERENCIAL</t>
  </si>
  <si>
    <t>RECURSOS HUMANOS</t>
  </si>
  <si>
    <t>QUÍMICA GENERAL</t>
  </si>
  <si>
    <t>MANEJAR LA INFORMACIÓN DE LOS PROCEDIMIENTOS TÉCNICOS ESTABLECIDOS DE ACUERDO CON LOS REQUERIMIENTOS
ORGANIZACIONALES</t>
  </si>
  <si>
    <t>TRATAR LOS RESIDUOS SÓLIDOS CON BASE EN PARÁMETROS TÉCNICO AMBIENTALES VIGENTES</t>
  </si>
  <si>
    <t>TOPOGRAFÍA Y CARTOGRAFÍA</t>
  </si>
  <si>
    <t>VIGILAR LA SALUD PÚBLICA Y CONTROLAR LOS FACTORES DE RIESGO DE ACUERDO CON LA NORMATIVIDAD Y LAS POLÍTICAS SECTORIALES</t>
  </si>
  <si>
    <t>ÁLGEBRA LINEAL</t>
  </si>
  <si>
    <t>CUMPLIR CON LOS REQUERIMIENTOS AMBIENTALES EN LA ZONA DE TRABAJO DE ACUERDO CON
LAS POLÍTICAS DE LA EMPRESA</t>
  </si>
  <si>
    <t>CÁLCULO INTEGRAL</t>
  </si>
  <si>
    <t>FÍSICA ELECTRICIDAD Y MAGNETISMO</t>
  </si>
  <si>
    <t xml:space="preserve">GENERAR PROCESOS DE EDUCACIÓN, PARTICIPACIÓN Y GESTIÓN AMBIENTAL, EN EL ÁMBITO DEL DESARROLLO SOSTENIBLE CON BASE EN LAS NECESIDADES Y POLÍTICAS DEL TERRITORIO.
</t>
  </si>
  <si>
    <t>DESARROLLAR ESTRATEGIAS PARA EL MANEJO Y CONSERVACIÓN DE LA FAUNA SILVESTRE, DE ACUERDO CON LOS PROCEDIMIENTOS ESTABLECIDOS Y LA NORMATIVIDAD VIGENTE. / DESARROLLAR ESTRATEGIAS PARA EL MANEJO Y CONSERVACIÓN DE LA FLORA</t>
  </si>
  <si>
    <t>PRÁCTICA INTEGRADA I</t>
  </si>
  <si>
    <t>MECÁNICA DE MATERIALES</t>
  </si>
  <si>
    <t>LÓGICA DE PROGRAMACIÓN</t>
  </si>
  <si>
    <t>CÁLCULO VECTORIAL</t>
  </si>
  <si>
    <t>IMPLEMENTAR PRÁCTICAS DE MANEJO Y CONSERVACIÓN DE SUELOS, APLICANDO CRITERIOS TÉCNICOS Y NORMATIVIDAD VIGENTE</t>
  </si>
  <si>
    <t>PROCESOS CONSTRUCTIVOS</t>
  </si>
  <si>
    <t>MATERIALES DE CONSTRUCCIÓN</t>
  </si>
  <si>
    <t>MECÁNICA DE SUELOS</t>
  </si>
  <si>
    <t>ECUACIONES DIFERENCIALES</t>
  </si>
  <si>
    <t>PROBABILIDAD Y ESTADÍSTICA</t>
  </si>
  <si>
    <t>PRESUPUESTOS Y PROGRAMACIÓN DE OBRAS</t>
  </si>
  <si>
    <t>CONSTRUCCIÓN Y CONSERVACIÓN DE VÍAS</t>
  </si>
  <si>
    <t>CONSTRUCCIÓN DE OBRAS EN CONCRETO</t>
  </si>
  <si>
    <t>ANÁLISIS ESTRUCTURAL</t>
  </si>
  <si>
    <t>DISEÑAR PROTOTIPOS DE PRODUCTOS Y/O SERVICIOS QUE SATISFAGAN LAS NECESIDADES Y REQUERIMIENTOS DE LOS CLIENTES Y CUMPLAN LA NORMATIVIDAD LEGAL VIGENTE.</t>
  </si>
  <si>
    <t>ELECTIVA PROFUNDIZACIÓN I</t>
  </si>
  <si>
    <t>SISTEMAS DE GESTIÓN AMBIENTAL</t>
  </si>
  <si>
    <t>DESARROLLAR ESTRATEGIAS PARA EL MANEJO Y CONSERVACIÓN DE LA FLORA SILVESTRE, DE ACUERDO CON LOS PROCEDIMIENTOS ESTABLECIDOS Y LA NORMATIVIDAD VIGENTE.</t>
  </si>
  <si>
    <t>PROYECTO OPCIONAL INVESTIGATIVO</t>
  </si>
  <si>
    <t>DIRECCIÓN Y CONTROL DE OBRA</t>
  </si>
  <si>
    <t>IMPLEMENTAR PRÁCTICAS DE MANEJO Y CONSERVACIÓN DE SUELOS, APLICANDO CRITERIOS TÉCNICOS Y NORMATIVIDAD VIGENTE.</t>
  </si>
  <si>
    <t>GEOLOGÍA Y EDAFOLOGÍA</t>
  </si>
  <si>
    <t>CONSTRUCCIÓN DE SISTEMAS INDUSTRIALIZADOS</t>
  </si>
  <si>
    <t>IMPACTO AMBIENTAL</t>
  </si>
  <si>
    <t>CONSTRUCCIÓN DE OBRAS VIALES COMPLEMENTARIAS</t>
  </si>
  <si>
    <t>APOYAR ACTIVIDADES QUE CONDUZCAN A LA IMPLEMENTACIÓN, DE LOS SISTEMAS DE GESTIÓN, DE FORMA INDIVIDUAL O INTEGRADA; DE  CUERDO A PLANIFICACIÓN ESTABLECIDA POR LA EMPRESA.</t>
  </si>
  <si>
    <t>CONSTRUCCIÓN DE FUNDACIONES</t>
  </si>
  <si>
    <t>GARANTIZAR EL CUMPLIMIENTO DE LA NORMATIVIDAD Y LEGISLACIÓN VIGENTE RELACIONADA CON LOS SISTEMAS DE GESTIÓN, SEGÚN LA NATURALEZA DE LA ORGANIZACIÓN</t>
  </si>
  <si>
    <t>MERCADEO INMOBILIARIO</t>
  </si>
  <si>
    <t>CONTROLAR LOS VERTIMIENTOS RESULTANTES DE PROCESOS Y OPERACIONES PRODUCTIVAS DE ACUERDO CON LA NORMATIVIDAD AMBIENTAL ESTABLECIDA</t>
  </si>
  <si>
    <t>TRATAMIENTO DE AGUAS RESIDUALES</t>
  </si>
  <si>
    <t>PRÁCTICA INTEGRADA II</t>
  </si>
  <si>
    <t>CALIDAD DEL AIRE</t>
  </si>
  <si>
    <t>CONSTRUCCIÓN DE INSTALACIONES</t>
  </si>
  <si>
    <t>GESTIÓN AMBIENTAL DE PROCESOS</t>
  </si>
  <si>
    <t>CONSTRUCCIÓN DE ACUEDUCTO Y ALCANTARILLADO</t>
  </si>
  <si>
    <t>APLICAR PRÁCTICAS  DE PROTECCIÓN AMBIENTAL, SEGURIDAD Y SALUD EN EL TRABAJO DE ACUERDO CON LAS POLÍTICAS ORGANIZACIONALES  Y LA NORMATIVIDAD VIGENTE.</t>
  </si>
  <si>
    <t>INTRODUCCIÓN A LA INGENIERÍA AMBIENTAL</t>
  </si>
  <si>
    <t>CONSTRUCCIÓN DE ELEMENTOS NO ESTRUCTURALES</t>
  </si>
  <si>
    <t>OBTENER MUESTRAS REPRESENTATIVAS SEGÚN PROTOCOLOS Y TÉCNICAS DE ANÁLISIS FISICOQUÍMICO</t>
  </si>
  <si>
    <t>TÉCNICAS DE CAMPO</t>
  </si>
  <si>
    <t>EVALUAR EL CUMPLIMIENTO AMBIENTAL DE ACUERDO CON LA NORMATIVA</t>
  </si>
  <si>
    <t>CÁTEDRA OPCIONAL COMPLEMENTARIA</t>
  </si>
  <si>
    <t>APLICACIÓN DE CONOCIMIENTOS DE LAS CIENCIAS NATURALES DE ACUERDO CON SITUACIONES DEL CONTEXTO PRODUCTIVO Y SOCIAL.</t>
  </si>
  <si>
    <t>FORMULACIÓN Y EVALUACIÓN DE PROYECTOS</t>
  </si>
  <si>
    <t>GESTIONAR EL MANEJO DE RESIDUOS SÓLIDOS SEGÚN ESPECIFICACIONES TÉCNICAS Y NORMATIVA</t>
  </si>
  <si>
    <t>GESTIÓN DE RESIDUOS SÓLIDOS</t>
  </si>
  <si>
    <t>ENVIRONMENTAL MANAGEMENT AND SUSTAINABLE DEVELOPMENT</t>
  </si>
  <si>
    <t>AFORAR ESTRUCTURAS DE RIEGO DE ACUERDO CON LAS NECESIDADES</t>
  </si>
  <si>
    <t>PROFUNDIZACIÓN I</t>
  </si>
  <si>
    <t>PLANEAR LA ADECUACIÓN DE TIERRAS SEGÚN REQUERIMIENTOS TÉCNICOS Y NORMAS VIGENTES.</t>
  </si>
  <si>
    <t>PROFUNDIZACIÓN II</t>
  </si>
  <si>
    <t>ESTRUCTURAR EL PROGRAMA DE ACTIVIDAD FÍSICA SISTEMÁTICA DE ACUERDO CON LA POBLACIÓN OBJETO QUE CONTRIBUYA EN EL BIENESTAR FÍSICO, PSICOLÓGICO Y SOCIAL.</t>
  </si>
  <si>
    <t>MORFOFISIOLOGÍA</t>
  </si>
  <si>
    <t>OPCIÓN DE GRADO</t>
  </si>
  <si>
    <t>FUNDAMENTOS DE LA BIOLOGÍA HUMANA APLICADA A LA CULTURA FÍSICA</t>
  </si>
  <si>
    <t>PRÁCTICA INTEGRADA III</t>
  </si>
  <si>
    <t>APRENDIZAJE Y DESARROLLO MOTOR</t>
  </si>
  <si>
    <t>PROFUNDIZACIÓN III</t>
  </si>
  <si>
    <t>INICIACIÓN Y FORMACIÓN DEPORTIVA</t>
  </si>
  <si>
    <t>PROFUNDIZACIÓN IV</t>
  </si>
  <si>
    <t>DIDÁCTICA DE LA ACTIVIDAD FÍSICA</t>
  </si>
  <si>
    <t>METODOLOGÍA DE LA EDUCACIÓN A DISTANCIA</t>
  </si>
  <si>
    <t>PEDAGOGÍA DE LA CULTURA FÍSICA</t>
  </si>
  <si>
    <t>ATENDER AL USUARIO PERSONA EN CASO DE ACCIDENTE Y ENFERMEDAD SÚBITA DE ACUERDO CON PROTOCOLOS DE PRIMER RESPONDIENTE.</t>
  </si>
  <si>
    <t>ELECTIVA: TRAUMATOLOGÍA Y REHABILITACIÓN DEPORTIVA</t>
  </si>
  <si>
    <t>FUNDAMENTOS DE MATEMÁTICAS</t>
  </si>
  <si>
    <t>INTRODUCCIÓN A LA CULTURA FÍSICA</t>
  </si>
  <si>
    <t>INTRODUCCIÓN A LA INGENIERÍA</t>
  </si>
  <si>
    <t>INTRODUCCIÓN A LA ADMINISTRACIÓN DE LA C.F.D.R.</t>
  </si>
  <si>
    <t>TEORÍA GENERAL DE SISTEMAS</t>
  </si>
  <si>
    <t>ENTRENAMIENTO PERSONALIZADO Y GRUPAL</t>
  </si>
  <si>
    <t>LÓGICA MATEMÁTICA</t>
  </si>
  <si>
    <t>EVENTOS Y ESCENARIOS</t>
  </si>
  <si>
    <t>GESTIONAR PROCESOS PROPIOS DE LA CULTURA EMPRENDEDORA Y EMPRESARIAL DE ACUERDO CON EL PERFIL PERSONAL Y LOS REQUERIMIENTOS DE LOS CONTEXTOS PRODUCTIVO Y SOCIAL.</t>
  </si>
  <si>
    <t>CIRCUITOS BÁSICOS</t>
  </si>
  <si>
    <t>DIRIGIR LA ACTIVIDAD FÍSICA SEGÚN TENDENCIAS Y TÉCNICAS</t>
  </si>
  <si>
    <t>PROGRAMACIÓN DEL EJERCICIO PARA LA SALUD</t>
  </si>
  <si>
    <t>CALCULO DIFERENCIAL</t>
  </si>
  <si>
    <t>PROGRAMAR EL EJERCICIO SEGÚN CONDICIÓN FÍSICA Y ESTÁNDARES TÉCNICOS</t>
  </si>
  <si>
    <t>ALGEBRA LINEAL</t>
  </si>
  <si>
    <t>ALGORITMOS DE PROGRAMACIÓN</t>
  </si>
  <si>
    <t>GENERACIÓN DE HÁBITOS SALUDABLES DE VIDA MEDIANTE LA APLICACIÓN DE
PROGRAMAS DE ACTIVIDAD FÍSICA EN LOS CONTEXTOS PRODUCTIVOS Y SOCIALES.</t>
  </si>
  <si>
    <t>PROMOCIÓN Y PREVENCIÓN DE LA SALUD</t>
  </si>
  <si>
    <t>CALCULO INTEGRAL</t>
  </si>
  <si>
    <t>EJERCER DERECHOS FUNDAMENTALES DEL TRABAJO EN EL MARCO DE LA CONSTITUCIÓN
POLÍTICA Y LOS CONVENIOS INTERNACIONALES.</t>
  </si>
  <si>
    <t>MARCO LEGAL DE LA C.F.D.R. EN COLOMBIA</t>
  </si>
  <si>
    <t>PREPARAR AL DEPORTISTA FÍSICAMENTE SEGÚN LA DISCIPLINA Y/O MODALIDAD EN EL NIVEL DE FORMACIÓN DEPORTIVA.</t>
  </si>
  <si>
    <t>ESTRUCTURAS DE DATOS</t>
  </si>
  <si>
    <t>SISTEMAS OPERATIVOS</t>
  </si>
  <si>
    <t>FISIOLOGÍA DEL EJERCICIO</t>
  </si>
  <si>
    <t>ELECTIVA PROFESIONAL I (TEORÍA DE LENGUAJES - 16825)</t>
  </si>
  <si>
    <t>CALCULO VECTORIAL</t>
  </si>
  <si>
    <t>FUNDAMENTAR LA PREPARACIÓN TÉCNICO - TÁCTICA DEL DEPORTISTA SEGÚN LA DISCIPLINA Y/O MODALIDAD EN EL NIVEL DE FORMACIÓN DEPORTIVA.</t>
  </si>
  <si>
    <t>ELECTRICIDAD Y MAGNETISMO</t>
  </si>
  <si>
    <t>ENTRENAMIENTO Y RENDIMIENTO DEPORTIVO</t>
  </si>
  <si>
    <t>PROGRAMACIÓN BÁSICA</t>
  </si>
  <si>
    <t>DIRIGIR PROGRAMAS DE ENTRENAMIENTO FÍSICO PERSONALIZADOS SEGÚN ESTRATIFICACIÓN DE RIESGO.</t>
  </si>
  <si>
    <t>METODOLOGÍA DE LA INVESTIGACIÓN</t>
  </si>
  <si>
    <t>ELECTIVA PROFESIONAL II (HERRAMIENTAS DE MODELACIÓN – 73443)</t>
  </si>
  <si>
    <t>PSICOMOTRICIDAD</t>
  </si>
  <si>
    <t>TEORÍA DE GRAFOS</t>
  </si>
  <si>
    <t>ANÁLISIS Y DISEÑO DE SISTEMAS</t>
  </si>
  <si>
    <t>ESTRUCTURA DE REDES</t>
  </si>
  <si>
    <t>ATENCIÓN A PERSONAS EN CASO DE ACCIDENTE O ENFERMEDAD SÚBITA, DE ACUERDO CON PROTOCOLOS DE PRIMER RESPONDIENTE.</t>
  </si>
  <si>
    <t>ELECTIVA PROFESIONAL III</t>
  </si>
  <si>
    <t>EJECUCIÓN DE SESIONES DE EJERCICIO FÍSICO SEGÚN PROGRAMAS DE ENTRENAMIENTO FÍSICO CONCERTADOS.</t>
  </si>
  <si>
    <t>EJECUTAR ACTIVIDADES RECREATIVAS DE ACUERDO AL EVENTO PROGRAMADO.</t>
  </si>
  <si>
    <t>DISEÑO DE INSTRUMENTOS Y PROPUESTAS RECREATIVAS</t>
  </si>
  <si>
    <t>INGENIERÍA DE SOFTWARE</t>
  </si>
  <si>
    <t>TRABAJO COMUNITARIO I</t>
  </si>
  <si>
    <t>ESTADÍSTICA APLICADA</t>
  </si>
  <si>
    <t>CARACTERIZACIÓN DE PERSONAJES DE ACUERDO CON EL EVENTO RECREATIVO</t>
  </si>
  <si>
    <t>EXPRESIÓN CORPORAL Y ARTÍSTICA</t>
  </si>
  <si>
    <t>ELECTIVA PROFESIONAL IV (SEGURIDAD INFORMÁTICA - 73434)</t>
  </si>
  <si>
    <t>PLANIFICAR PROGRAMAS Y EVENTOS RECREATIVOS DE ACUERDO AL CONTEXTO</t>
  </si>
  <si>
    <t>MÉTODOS Y TÉCNICAS DE INVESTIGACIÓN</t>
  </si>
  <si>
    <t>SOLUCIONES TELEMÁTICAS EMPRESARIALES</t>
  </si>
  <si>
    <t>DISEÑO DE BASES DE DATOS</t>
  </si>
  <si>
    <t>ELECTIVA PROFESIONAL V (GESTIÓN DE PRODUCCIÓN Y CALIDAD DE SOFTWARE - 16486)</t>
  </si>
  <si>
    <t>ELECTIVA DE ÉNFASIS I (REDES Y COMUNICACIONES - 73437)</t>
  </si>
  <si>
    <t>TRABAJO COMUNITARIO II</t>
  </si>
  <si>
    <t>INVESTIGACIÓN DE OPERACIONES</t>
  </si>
  <si>
    <t>PROGRAMACIÓN AVANZADA</t>
  </si>
  <si>
    <t>CARACTERIZAR UN PERSONAJE O INTÉRPRETE CONFORME A TÉCNICAS ESPECIALIZADAS DE MAQUILLAJE ESCÉNICO.</t>
  </si>
  <si>
    <t>DESARROLLAR EVENTOS DEPORTIVOS DE ACUERDO CON LOS LINEAMIENTOS Y NECESIDADES DE LA ORGANIZACIÓN.</t>
  </si>
  <si>
    <t>ELECTIVA DE ÉNFASIS II (COMUNICACIONES INALÁMBRICAS - 73438)</t>
  </si>
  <si>
    <t>ANÁLISIS NUMÉRICO</t>
  </si>
  <si>
    <t>ADMINISTRACIÓN DE BASES DE DATOS</t>
  </si>
  <si>
    <t>PROYECTO INFORMÁTICO I</t>
  </si>
  <si>
    <t>TEORÍA DE LA DECISIÓN</t>
  </si>
  <si>
    <t>ELECTIVA DE ÉNFASIS III (ADMINISTRACIÓN Y GESTIÓN DE REDES - 73440)</t>
  </si>
  <si>
    <t>PROYECTO INFORMÁTICO II</t>
  </si>
  <si>
    <t>DESARROLLO DE SOFTWARE</t>
  </si>
  <si>
    <t>AUDITORIA DE SISTEMAS</t>
  </si>
  <si>
    <t>REPLANTEAR LOS DISEÑOS DE ACUERDO CON LAS NORMAS PLANOS Y ESPECIFICACIONES</t>
  </si>
  <si>
    <t>METODOLOGÍA EDUCACIÓN A DISTANCIA</t>
  </si>
  <si>
    <t>PROMOVER LA INTERACCION IDONEA CONSIGO MISMO, CON LOS DEMAS Y CON LA NATURALEZA EN LOS CONTEXTOS LABORAL Y SOCIAL.</t>
  </si>
  <si>
    <t>FUNDAMENTOS DE ADMINISTRACIÓN</t>
  </si>
  <si>
    <t>MEDIR DE ACUERDO CON LOS PROCEDIMIENTOS ESTABLECIDOS</t>
  </si>
  <si>
    <t>MATEMÁTICAS BÁSICAS</t>
  </si>
  <si>
    <t>SUPERVISAR ACTIVIDADES PRELIMINARES DE OBRA DE ACUERDO CON NORMAS PLANOS Y ESPECIFICACIONES</t>
  </si>
  <si>
    <t>INTRODUCCIÓN AL SUPPLY CHAIN</t>
  </si>
  <si>
    <t>ORGANIZAR LOS RECURSOS, DE ACUERDO CON LOS PROGRAMAS</t>
  </si>
  <si>
    <t>PROCESOS LOGÍSTICOS DE APROVISIONAMIENTO</t>
  </si>
  <si>
    <t>VERIFICAR PROCESOS CONSTRUCTIVOS DE OBRA GRIS ACUERDO A NORMAS PLANOS ESPECIFICACIONES Y SEGURIDAD INDUSTRIAL</t>
  </si>
  <si>
    <t>VERIFICAR INSTALACIONES TÉCNICAS DE ACUERDO CON NORMAS PLANOS Y ESPECIFICACIONES.</t>
  </si>
  <si>
    <t>FUNDAMENTOS DE CONTABILIDAD</t>
  </si>
  <si>
    <t>CONTROLAR Y SUPERVISAR LOS RECURSOS Y PROCESOS TÉCNICOS, DE ACUERDO CON LAS NORMAS, PLANOS Y ESPECIFICACIONES, PARA OBTENER LOS RESULTADOS ESPERADOS</t>
  </si>
  <si>
    <t>GESTIÓN DE CENTROS LOGÍSTICOS</t>
  </si>
  <si>
    <t>ORGANIZAR LOS RECURSOS, DE ACUERDO CON LOS PROGRAMAS ESTABLECIDOS</t>
  </si>
  <si>
    <t>GEO REFERENCIAR PROYECTOS DE INGENIERIA DE ACUERDO A NORMAS Y ESPECIFICACIONES</t>
  </si>
  <si>
    <t>ADQUIRIR LOS RECURSOS PARA OBTENER LOS RESULTADOS ESPERADOS</t>
  </si>
  <si>
    <t>EFECTUAR LEVANTAMIENTOS TOPOGRAFICOS BASICOS DE ACUERDO A NORMAS, PLANOS Y ESPECIFICACIONES</t>
  </si>
  <si>
    <t>ESTADÍSTICA I</t>
  </si>
  <si>
    <t>FUNDAMENTOS DE MERCADEO</t>
  </si>
  <si>
    <t>LOGÍSTICA DE SERVICIOS</t>
  </si>
  <si>
    <t>FUNDIR LOS ELEMENTOS EN CONCRETO DE ACUERDO CON LAS NORMAS, PLANOS Y ESPECIFICACIONES</t>
  </si>
  <si>
    <t>INVESTIGACIÓN DE OPERACIONES I</t>
  </si>
  <si>
    <t>ESTADÍSTICA II</t>
  </si>
  <si>
    <t>CONSTRUIR PAVIMENTOS ARTICULADOS DE ACUERDO CON NORMAS PLANOS Y ESPECIFICACIONES</t>
  </si>
  <si>
    <t>PROYECTO I</t>
  </si>
  <si>
    <t>LEVANTAR MUROS EN MAMPOSTERIA DE ACUERDO CON NORMAS, PLANOS Y ESPECIFICACIONES</t>
  </si>
  <si>
    <t>INVESTIGACIÓN DE OPERACIONES II</t>
  </si>
  <si>
    <t>GESTIÓN LOGÍSTICA DE INVENTARIOS</t>
  </si>
  <si>
    <t>INSTALAR REDES DE ACUERDO CON LAS NORMAS PLANOS Y ESPECIFICACIONES.</t>
  </si>
  <si>
    <t>ANÁLISIS FINANCIERO</t>
  </si>
  <si>
    <t>PROFUNDIZACIÓN (EMPRENDIMIENTO -73340)</t>
  </si>
  <si>
    <t>CÁTEDRA OPCIONAL COMPLEMENTARIA (INFORMÁTICA I - 16574)</t>
  </si>
  <si>
    <t>ANALIZAR LOS REQUERIMIENTOS DEL CLIENTE PARA CONSTRUIR EL SISTEMA DE INFORMACIÓN.</t>
  </si>
  <si>
    <t>ESPECIFICAR LOS REQUISITOS NECESARIOS PARA DESARROLLAR EL SISTEMA DE INFORMACIÓN DE ACUERDO CON LAS NECESIDADES DEL CLIENTE.</t>
  </si>
  <si>
    <t>PLANEACIÓN DE VENTAS Y OPERACIONES</t>
  </si>
  <si>
    <t>GESTIÓN DE MEDIOS Y MODOS TRANSPORTE</t>
  </si>
  <si>
    <t>DISEÑAR EL SISTEMA DE ACUERDO CON LOS REQUERIMIENTOS DEL CLIENTE</t>
  </si>
  <si>
    <t>SIMULACIÓN DE OPERACIONES</t>
  </si>
  <si>
    <t>IMPLANTAR LA SOLUCIÓN QUE CUMPLA CON LOS REQUERIMIENTOS PARA SU OPERACIÓN</t>
  </si>
  <si>
    <t>PROFUNDIZACIÓN</t>
  </si>
  <si>
    <t>APLICAR BUENAS PRÁCTICAS DE CALIDAD EN EL PROCESO DE DESARROLLO DE SOFTWARE, DE ACUERDO CON EL REFERENTE ADOPTADO EN LA EMPRESA</t>
  </si>
  <si>
    <t>CÁTEDRA OPCIONAL COMPLEMENTARIA (INFORMÁTICA II-16675)</t>
  </si>
  <si>
    <t>PARTICIPAR EN EL PROCESO DE NEGOCIACIÓN DE TECNOLOGÍA INFORMÁTICA PARA PERMITIR LA IMPLEMENTACIÓN DEL SISTEMA DE INFORMACIÓN</t>
  </si>
  <si>
    <t>PLANEACIÓN Y CONTROL DE LA PRODUCCIÓN</t>
  </si>
  <si>
    <t>OPCIONAL INSTITUCIONAL</t>
  </si>
  <si>
    <t>UTILIZAR HERRAMIENTAS INFORMÁTICAS DE ACUERDO CON LAS NECESIDADES DE MANEJO DE INFORMACIÓN</t>
  </si>
  <si>
    <t>DESARROLLAR PROCESOS DE COMUNICACIÓN EFICACES Y EFECTIVOS, TENIENDO EN CUENTA SITUACIONES  DE ORDEN SOCIAL, PERSONAL Y PRODUCTIVO</t>
  </si>
  <si>
    <t>CONFIGURAR DISPOSITIVOS DE CÓMPUTO DE ACUERDO CON ESPECIFICACIONES DEL DISEÑO Y PROTOCOLOS TÉCNICOS</t>
  </si>
  <si>
    <t>ADMINISTRAR HARDWARE Y SOFTWARE DE SEGURIDAD EN LA RED A PARTIR DE NORMAS INTERNACIONALES.</t>
  </si>
  <si>
    <t>ASPECTOS JURÍDICOS LOGÍSTICOS</t>
  </si>
  <si>
    <t>CONFIGURAR DISPOSITIVOS ACTIVOS DE INTERCONEXIÓN SEGÚN ESPECIFICACIONES DEL DISEÑO Y PROTOCOLOS TÉCNICOS</t>
  </si>
  <si>
    <t>GERENCIA DE REDES LOGÍSTICAS</t>
  </si>
  <si>
    <t>IMPLEMENTAR TECNOLOGÍAS DE VOZ SOBRE IP DE ACUERDO CON EL DISEÑO Y NORMAS TÉCNICAS</t>
  </si>
  <si>
    <t>PROCESOS LOGÍSTICOS DE RETORNO</t>
  </si>
  <si>
    <t>ADMINISTRAR INFRAESTRUCTURA TECNOLÓGICA DE RED SEGÚN MODELOS DE REFERENCIA Y PROCEDIMIENTO TÉCNICO</t>
  </si>
  <si>
    <t xml:space="preserve">MONTAR INSTALACIONES ELÉCTRICAS INTERNAS DE ACUERDO CON NORMATIVA
</t>
  </si>
  <si>
    <t>INTERNATIONAL BUSINESS</t>
  </si>
  <si>
    <t>DIRECCIÓN DE OPERACIONES</t>
  </si>
  <si>
    <t>RAZONAR CUANTITATIVAMENTE FRENTE A SITUACIONES SUSCEPTIBLES DE SER ABORDADAS DE MANERA MATEMÁTICA EN CONTEXTOS LABORALES, SOCIALES Y PERSONALES.</t>
  </si>
  <si>
    <t>IMPLEMENTAR LA RED FÍSICA DE DATOS SEGÚN DISEÑO Y ESTÁNDARES TÉCNICOS</t>
  </si>
  <si>
    <t>PROYECTO II</t>
  </si>
  <si>
    <t>MANTENER EQUIPOS DE CÓMPUTO SEGÚN PROCEDIMIENTO TÉCNICO</t>
  </si>
  <si>
    <t>DESARROLLAR PROCESOS DE COMUNICACIÓN EFICACES Y EFECTIVOS, TENIENDO EN CUENTA SITUACIONES  DE ORDEN SOCIAL, PERSONAL Y PRODUCTIVO.</t>
  </si>
  <si>
    <t>MATEMÁTICA BÁSICA</t>
  </si>
  <si>
    <t>BIOLOGÍA GENERAL</t>
  </si>
  <si>
    <t>QUÍMICA</t>
  </si>
  <si>
    <t>INTRODUCCIÓN A LA ZOOTECNIA</t>
  </si>
  <si>
    <t>IMPLEMENTAR LA SOLUCIÓN DE SOFTWARE DE ACUERDO CON LOS REQUISITOS DE OPERACIÓN Y MODELOS DE REFERENCIA</t>
  </si>
  <si>
    <t>DESARROLLAR LA SOLUCIÓN DE SOFTWARE DE ACUERDO CON EL DISEÑO Y METODOLOGÍAS DE DESARROLLO</t>
  </si>
  <si>
    <t>MATEMÁTICAS 2</t>
  </si>
  <si>
    <t>PROGRAMACION PARA ANALITICA DE DATOS</t>
  </si>
  <si>
    <t>BIOQUÍMICA</t>
  </si>
  <si>
    <t>AGROECOLOGÍA</t>
  </si>
  <si>
    <t>SUELOS Y FERTILIZANTES</t>
  </si>
  <si>
    <t>PROCESAR DATOS DE ACUERDO CON PROCEDIMIENTO TÉCNICO Y METODOLOGÍA ESTADÍSTICA</t>
  </si>
  <si>
    <t>ANATOMÍA ANIMAL</t>
  </si>
  <si>
    <t>GENÉTICA</t>
  </si>
  <si>
    <t>PASTOS Y FORRAJES</t>
  </si>
  <si>
    <t>NUTRICIÓN ANIMAL I</t>
  </si>
  <si>
    <t>FISIOLOGÍA ANIMAL I</t>
  </si>
  <si>
    <t>BIOESTADÍSTICA</t>
  </si>
  <si>
    <t>ELECTIVA I</t>
  </si>
  <si>
    <t>MICROBIOLOGÍA</t>
  </si>
  <si>
    <t>DISEÑAR LA SOLUCIÓN DE SOFTWARE DE ACUERDO CON PROCEDIMIENTOS Y REQUISITOS TÉCNICOS</t>
  </si>
  <si>
    <t>EXTENSIÓN Y DESARROLLO RURAL</t>
  </si>
  <si>
    <t>ESTABLECER REQUISITOS DE LA SOLUCIÓN DE SOFTWARE DE ACUERDO CON ESTÁNDARES Y PROCEDIMIENTO TÉCNICO</t>
  </si>
  <si>
    <t>NUTRICIÓN ANIMAL II</t>
  </si>
  <si>
    <t>FISIOLOGÍA DE LA PRODUCCIÓN</t>
  </si>
  <si>
    <t>DISEÑO EXPERIMENTAL</t>
  </si>
  <si>
    <t>ELECTIVA II</t>
  </si>
  <si>
    <t>DISEÑAR LA SOLUCIÓN DE SOFTWARE DE ACUERDO CON LOS REQUISITOS DE OPERACIÓN Y MODELOS DE REFERENCIA</t>
  </si>
  <si>
    <t>AGROCLIMATOLOGÍA</t>
  </si>
  <si>
    <t>EXPERIENCIA ZOOTÉCNICA</t>
  </si>
  <si>
    <t>ALIMENTACIÓN ANIMAL</t>
  </si>
  <si>
    <t xml:space="preserve">ADQUIRIR LOS RECURSOS PARA OBTENER LOS RESULTADOS ESPERADOS </t>
  </si>
  <si>
    <t>CONSTRUCCIÓN Y COSTOS</t>
  </si>
  <si>
    <t>SALUD EN LA PRODUCCIÓN ANIMAL</t>
  </si>
  <si>
    <t>MAQUINARIA Y EQUIPO</t>
  </si>
  <si>
    <t>ENFOQUE SISTÉMICO DE LA PRODUCCIÓN PECUARIA</t>
  </si>
  <si>
    <t>TOPOGRAFÍA Y FOTOGRAMETRÍA</t>
  </si>
  <si>
    <t>CONTROLAR Y SUPERVISAR LOS RECURSOS Y PROCESOS TÉCNICOS , DE ACUERDO CON LAS NORMAS PLANOS Y ESPECIFICACIONES PARA OBTENER LOS RESULTADOS ESPERADOS</t>
  </si>
  <si>
    <t>COMPONENTE DE ÉNFASIS I ADMINISTRACIÓN DE OBRAS</t>
  </si>
  <si>
    <t>CONTROLAR LAS ACTIVIDADES DE CONSTRUCCIÓN DE PAVIMENTOS DE
MEZCLAS ASFÁLTICAS</t>
  </si>
  <si>
    <t>TRABAJO COMUNITARIO</t>
  </si>
  <si>
    <t>MEJORAMIENTO ANIMAL</t>
  </si>
  <si>
    <t>REPRODUCCIÓN ANIMAL I</t>
  </si>
  <si>
    <t>REPLANTEAR LOS DISEÑOS DE ACUERDO CON LAS NORMAS PLANOS Y
ESPECIFICACIONES</t>
  </si>
  <si>
    <t>DIBUJO TÉCNICO Y DESCRIPTIVA</t>
  </si>
  <si>
    <t>SISTEMAS DE GESTIÓN DE CALIDAD</t>
  </si>
  <si>
    <t>TALLER ESTUDIO DE INVESTIGACIÓN</t>
  </si>
  <si>
    <t>ADMINISTRACIÓN AGROPECUARIA</t>
  </si>
  <si>
    <t>ELECTIVA DE UNIVERSIDAD 1</t>
  </si>
  <si>
    <t>MERCADEO AGROPECUARIO</t>
  </si>
  <si>
    <t>ORGANIZA LOS RECURSOS DE ACUERDO CON LOS PROGRAMAS ESTABLECIDOS</t>
  </si>
  <si>
    <t>CONSTRUIR EL MODELO DE INTEGRACIÓN DE LA CADENA LOGÍSTICA SEGÚN LOS ESLABONES.</t>
  </si>
  <si>
    <t>REPRODUCCIÓN ANIMAL II</t>
  </si>
  <si>
    <t>GENERAR VALOR EN LA CADENA DE SUMINISTRO DE ACUERDO CON LOS OBJETIVOS Y ESTRATEGIAS DE LOS DIFERENTES ACTORES.</t>
  </si>
  <si>
    <t>SISTEMA PRODUCCIÓN BOVINOS DE LECHE</t>
  </si>
  <si>
    <t xml:space="preserve">PROMOVER LA INTERACCION IDONEA CONSIGO MISMO, CON LOS DEMAS Y CON LA NATURALEZA EN LOS CONTEXTOS LABORAL Y </t>
  </si>
  <si>
    <t>SISTEMA PRODUCCIÓN BOVINOS DE CARNE</t>
  </si>
  <si>
    <t>DIRIGIR EL TALENTO HUMANO SEGÚN NECESIDADES DE LA ORGANIZACIÓN.</t>
  </si>
  <si>
    <t>ECONOMÍA AGRARIA</t>
  </si>
  <si>
    <t xml:space="preserve">FORMULAR EL PLAN ESTRATÉGICOS DE LOGÍSTICA, DE ACUERDO CON LOS OBJETIVOS CORPORATIVOS DE LA EMPRESA Y </t>
  </si>
  <si>
    <t>ORGANIZAR LAS PLANTAS Y CENTROS DE DISTRIBUCIÓN SEGÚN ESTRATEGIAS CORPORATIVAS.</t>
  </si>
  <si>
    <t>ELECTIVA III</t>
  </si>
  <si>
    <t>DAR SOPORTE A LOS PROCESOS SEGÚN POLÍTICAS Y REQUERIMIENTOS DE LOS CLIENTES.</t>
  </si>
  <si>
    <t>SISTEMAS PRODUCCIÓN PEQUEÑOS RUMIANTES</t>
  </si>
  <si>
    <t>PROCESAR LA INFORMACIÓN DE ACUERDO A LAS REQUISICIONES Y PARÁMETROS ESTABLECIDOS POR LA EMPRESA.</t>
  </si>
  <si>
    <t>SISTEMA PRODUCCIÓN AVES</t>
  </si>
  <si>
    <t>PROCESAR LA INFORMACIÓN RECOLECTADA DE ACUERDO CON LOS MANUALES DE MANEJOS DE INFORMACIÓN.</t>
  </si>
  <si>
    <t>PLAN Y EVALUACIÓN DE PROYECTOS AGROPECUARIOS</t>
  </si>
  <si>
    <t xml:space="preserve">COSTEAR LA CADENA DE APROVISIONAMIENTO, DISTRIBUCIÓN Y TRANSPORTE DE ACUERDO CON LOS OBJETIVOS Y ESTRATEGIAS </t>
  </si>
  <si>
    <t>METODOLOGÍA DE LA INVESTIGACIÓN EN LAS CIENCIAS PECUARIAS</t>
  </si>
  <si>
    <t>PROYECTAR LAS NECESIDADES Y REQUERIMIENTOS SEGÚN EL PROCESO O UNIDADES DE NEGOCIO.</t>
  </si>
  <si>
    <t>ELECTIVA IV</t>
  </si>
  <si>
    <t>DEFINIR LOS SISTEMAS DE INFORMACIÓN DE LOS PROCESOS SEGÚN ESTRATEGIAS CORPORATIVAS.</t>
  </si>
  <si>
    <t xml:space="preserve">ESTABLECER EL SEGUIMIENTO Y RASTREO DE LOS PRODUCTOS SEGÚN LA CADENA DE SUMINISTRO Y NORMAS NACIONALES E </t>
  </si>
  <si>
    <t>CATEDRA OPCIONAL TECNOLOGÍA Y BIOÉTICA</t>
  </si>
  <si>
    <t>ESTABLECER LOS SISTEMAS DE DISTRIBUCIÓN SEGÚN EL MERCADO Y LOS COSTOS DE LA CADENA.</t>
  </si>
  <si>
    <t>BIOÉTICA</t>
  </si>
  <si>
    <t>OPERAR LOS PROCESOS DE IMPORTACIÓN Y EXPORTACIÓN SEGÚN NORMAS Y POLÍTICAS INTERNAS Y EXTERNAS.</t>
  </si>
  <si>
    <t>HERRAMIENTAS TECNOLÓGICAS PARA LA PRODUCCIÓN PECUARIA</t>
  </si>
  <si>
    <t>ETOLOGÍA Y BIENESTAR ANIMAL</t>
  </si>
  <si>
    <t>SISTEMA PRODUCCIÓN PORCINOS</t>
  </si>
  <si>
    <t>LEGISLACIÓN Y POLÍTICA AGRARIA</t>
  </si>
  <si>
    <t>NO REGISTRA</t>
  </si>
  <si>
    <t>ESTRUCTURAR LA CADENA DEL SERVICIO Y VALORES CORPORATIVOS DE ACUERDO CON LOS REQUERIMIENTOS DE LOS CLIENTES</t>
  </si>
  <si>
    <t>TECNOLOGÍA DE CÁRNICOS</t>
  </si>
  <si>
    <t>EVALUAR LOS RESULTADOS DE LOS PLANES DE OPERACIÓN SEGÚN OBJETIVOS, ESTRATEGIAS E INDICADORES DE GESTIÓN ESTABLECIDOS</t>
  </si>
  <si>
    <t>TECNOLOGÍA DE LÁCTEOS</t>
  </si>
  <si>
    <t>OPCIÓN DE GRADO: PRACTICA PROFESIONAL- CURSO DE ACTUALIZACIÓN - PROFUNDIZACIÓN - SEMESTRE DE POSGRADO</t>
  </si>
  <si>
    <t>MANEJAR PRESUPUESTOS APLICANDO LAS POLÍTICAS EMPRESARIALES Y LA NORMATIVIDAD.</t>
  </si>
  <si>
    <t>ELECTIVA V</t>
  </si>
  <si>
    <t>PROFUNDIZACIÓN V</t>
  </si>
  <si>
    <t>PROFUNDIZACIÓN VI</t>
  </si>
  <si>
    <t>CONTROLAR EL DESARROLLO DE LAS ACTIVIDADES SEGÚN INDICADORES DE GESTIÓN, METAS Y POLÍTICAS DE CALIDAD</t>
  </si>
  <si>
    <t>PROFUNDIZACIÓN (SISTEMAS INTEGRADOS DE GESTIÓN – 73977)</t>
  </si>
  <si>
    <t>MATEMÁTICA I</t>
  </si>
  <si>
    <t>CONTROLAR LA CALIDAD DE LOS PROCESOS DE ACUERDO CON  LA NORMATIVIDAD VIGENTE.</t>
  </si>
  <si>
    <t>COORDINAR EL TRANSPORTE SEGÚN RUTAS Y MEDIOS</t>
  </si>
  <si>
    <t>FUNDAMENTOS DE ECONOMÍA</t>
  </si>
  <si>
    <t xml:space="preserve">REALIZAR NEGOCIACIÓN CON LOS PROVEEDORES Y CLIENTES, SEGÚN LOS OBJETIVOS Y ESTRATEGIAS ESTABLECIDAS POR LA </t>
  </si>
  <si>
    <t>CONTABILIDAD PARA LAS ORGANIZACIONES</t>
  </si>
  <si>
    <t>MATEMÁTICAS II</t>
  </si>
  <si>
    <t xml:space="preserve">DISEÑAR PROTOTIPOS DE PRODUCTOS Y/O SERVICIOS QUE SATISFAGAN LAS NECESIDADES Y REQUERIMIENTOS DE LOS CLIENTES Y </t>
  </si>
  <si>
    <t>TEORÍA DE LAS ORGANIZACIONES</t>
  </si>
  <si>
    <t>HACER SEGUIMIENTO A LOS CLIENTES CON BASE EN LOS ACUERDOS COMERCIALES Y EL PLAN DE SERVICIO A CLIENTES.</t>
  </si>
  <si>
    <t xml:space="preserve">IMPLEMENTAR LA ESTRATEGIA DE MERCADEO DE PRODUCTOS AGROPECUARIOS ECOLÓGICOS SEGÚN PRINCIPIOS DEL COMERCIO </t>
  </si>
  <si>
    <t>RESPONSABILIDAD SOCIAL ORGANIZACIONAL</t>
  </si>
  <si>
    <t xml:space="preserve">PROYECTAR EL MERCADO DE ACUERDO CON EL TIPO DE PRODUCTO O SERVICIO Y CARACTERÍSTICAS DE LOS CONSUMIDORES Y </t>
  </si>
  <si>
    <t xml:space="preserve">ADMINISTRAR PROYECTOS DE NEGOCIO ON LINE DE ACUERDO CON LAS POLÍTICAS DE COMERCIALIZACIÓN Y TECNOLOGÍA </t>
  </si>
  <si>
    <t>PROFUNDIZACIÓN- (DESARROLLO SOSTENIBLE- 73979)</t>
  </si>
  <si>
    <t>NEGOCIOS INCLUSIVOS Y VALOR COMPARTIDO</t>
  </si>
  <si>
    <t>CREATIVIDAD E INNOVACIÓN ORGANIZACIONAL</t>
  </si>
  <si>
    <t>NEGOCIAR PRODUCTOS Y SERVICIOS SEGÚN CONDICIONES DEL MERCADO Y POLÍTICAS DE LA EMPRESA.</t>
  </si>
  <si>
    <t>DERECHO CONSTITUCIONAL Y ADMINISTRATIVO</t>
  </si>
  <si>
    <t xml:space="preserve">DETERMINAR OPORTUNIDADES DE MERCADO DE ACUERDO CON LAS TENDENCIAS DEL ENTORNO Y LOS OBJETIVOS DE LA </t>
  </si>
  <si>
    <t>GESTIÓN DEL CONOCIMIENTO Y APRENDIZAJE ORGANIZACIONAL</t>
  </si>
  <si>
    <t xml:space="preserve">ANALIZAR LOS RESULTADOS CONTABLES Y FINANCIEROS SEGÚN LOS CRITERIOS DE EVALUACIÓN ESTABLECIDOS POR LA </t>
  </si>
  <si>
    <t>COORDINAR EL TRANSPORTE SEGÚN MEDIOS Y MODOS.</t>
  </si>
  <si>
    <t>DESARROLLAR LOS CANALES DE DISTRIBUCIÓN A PARTIR DEL MERCADO, IDIOSINCRASIA, CULTURA Y NECESIDAD DE LOS CLIENTES.</t>
  </si>
  <si>
    <t>CONTROLAR LOS PROCESOS DE IMPORTACIÓN Y EXPORTACIÓN SEGÚN NORMATIVIDAD VIGENTE Y ACUERDOS ENTRE LAS PARTES.</t>
  </si>
  <si>
    <t>ESTRATEGIA</t>
  </si>
  <si>
    <t>INGENIERÍA ECONÓMICA</t>
  </si>
  <si>
    <t xml:space="preserve">DEFINIR LOS MÉTODOS Y TÉCNICAS DE MANEJO DE LOS OBJETOS Y PROCESOS SEGÚN OBJETIVOS Y ESTRATEGIAS DE LA </t>
  </si>
  <si>
    <t>DERECHO COMERCIAL Y TRIBUTARIO</t>
  </si>
  <si>
    <t>INVESTIGACIÓN DE MERCADOS</t>
  </si>
  <si>
    <t>ESTRUCTURAR LOS COMPONENTES DE UN SISTEMA DE TRAZABILIDAD DE ACUERDO A LOS PRODUCTOS, SERVICIOS Y PROCESOS</t>
  </si>
  <si>
    <t>PRÁCTICA DE RESPONSABILIDAD SOCIAL UNIVERSITARIA</t>
  </si>
  <si>
    <t>SISTEMAS DE INFORMACIÓN GERENCIAL (VIRTUAL)</t>
  </si>
  <si>
    <t xml:space="preserve">EFECTUAR LAS TRANSACCIONES COMERCIALES DE ACUERDO A LAS REQUISICIONES COMERCIALES SEGÚN ACUERDOS ENTRE LAS </t>
  </si>
  <si>
    <t>CREACIÓN DE EMPRESAS</t>
  </si>
  <si>
    <t>HABILIDADES GERENCIALES</t>
  </si>
  <si>
    <t>EVALUAR EL RESULTADO DE LOS PROCESOS SEGÚN INDICADORES DE GESTIÓN ESTABLECIDOS POR LA ORGANIZACIÓN.</t>
  </si>
  <si>
    <t>CÁTEDRA OPCIONAL COMPLEMENTARIA (16576-INFORMÁTICA II)</t>
  </si>
  <si>
    <t>EVALUACIÓN INTEGRAL DE PROYECTOS</t>
  </si>
  <si>
    <t>ADMINISTRACIÓN DE LA PRODUCCIÓN</t>
  </si>
  <si>
    <t>DERECHO LABORAL Y SEGURIDAD EN EL TRABAJO</t>
  </si>
  <si>
    <t>GERENCIA DEL TALENTO HUMANO</t>
  </si>
  <si>
    <t>ORIENTAR LAS ACTIVIDADES DEL PERSONAL A CARGO, CON BASE A LAS POLÍTICAS DE LA ORGANIZACIÓN</t>
  </si>
  <si>
    <t xml:space="preserve">DEFINIR HERRAMIENTAS PARA AUTOMATIZACIÓN Y CONTROL DE PROCESOS, CUMPLIENDO CON ESPECIFICACIONES TÉCNICAS </t>
  </si>
  <si>
    <t>CÁTEDRA OPCIONAL COMPLEMENTARIA (16575-INFORMÁTICA II)</t>
  </si>
  <si>
    <t>IMPLEMENTAR HERRAMIENTAS DE OPTIMIZACIÓN DE RECURSOS PARA EL MEJORAMIENTO DE LOS PROCESOS PRODUCTIVOS.</t>
  </si>
  <si>
    <t>PRÁCTICA PROFESIONAL</t>
  </si>
  <si>
    <t>CÁTEDRA OPCIONAL COMPLEMENTARIA (16576-INFORMÁTICA III)</t>
  </si>
  <si>
    <t>ELABORAR EL PLAN GENERAL DE PRODUCCIÓN, SEGÚN PLAN DE VENTAS, NIVELES DE INVENTARIO Y CAPACIDAD DE PRODUCCIÓN</t>
  </si>
  <si>
    <t>ORGANIZAR LAS ACTIVIDADES DE PRODUCCIÓN DE ACUERDO CON LOS OBJETIVOS EMPRESARIALES.</t>
  </si>
  <si>
    <t xml:space="preserve">GENERAR PROPUESTAS DE MEJORAMIENTO DEL AMBIENTE ORGANIZACIONAL DE ACUERDO CON LA FUNCIÓN DE LA UNIDAD </t>
  </si>
  <si>
    <t>CONTABILIZAR OPERACIONES DE ACUERDO CON LAS NORMAS VIGENTES Y LAS POLÍTICAS ORGANIZACIONALES.</t>
  </si>
  <si>
    <t xml:space="preserve">PLANEAR ACTIVIDADES DE MERCADEO QUE RESPONDAN A LAS NECESIDADES Y EXPECTATIVAS DE LOS CLIENTES Y A LOS </t>
  </si>
  <si>
    <t>INGLÉS 1</t>
  </si>
  <si>
    <t>FACILITAR EL SERVICIO A LOS CLIENTES INTERNOS Y EXTERNOS DE ACUERDO CON LAS  POLÍTICAS DE LA ORGANIZACIÓN.</t>
  </si>
  <si>
    <t xml:space="preserve">PROPONER ALTERNATIVAS DE SOLUCIÓN QUE CONTRIBUYAN AL LOGRO DE LOS OBJETIVOS DE ACUERDO CON EL NIVEL DE </t>
  </si>
  <si>
    <t>INGLÉS 2</t>
  </si>
  <si>
    <t>DISEÑAR EL PROYECTO DE LA INVESTIGACIÓN DE MERCADOS DE ACUERDO CON LOS OBJETIVOS Y METAS DE LA INVESTIGACIÓN.</t>
  </si>
  <si>
    <t>FÍSICA DE MATERIALES</t>
  </si>
  <si>
    <t xml:space="preserve">DISEÑAR PROTOTIPOS DE  PRODUCTOS Y / O  SERVICIOS QUE SATISFAGAN LAS NECESIDADES Y REQUERIMIENTOS DE LOS CLIENTES Y CUMPLAN LA NORMATIVIDAD VIGENTE.  </t>
  </si>
  <si>
    <t xml:space="preserve">IMPLEMENTAR EL SISTEMA DE INFORMACIÓN DE MERCADOS DE ACUERDO CON LAS NECESIDADES DE INFORMACIÓN DE LAS </t>
  </si>
  <si>
    <t>CÁTEDRA OPCIONAL COMPLEMENTARIA (16574-INFORMÁTICA I)</t>
  </si>
  <si>
    <t>INGLÉS 3</t>
  </si>
  <si>
    <t>FÍSICA ELÉCTRICA</t>
  </si>
  <si>
    <t xml:space="preserve">ECUACIONES DIFERENCIALES
</t>
  </si>
  <si>
    <t>ORGANIZAR LA LOGÍSTICA INTERNA DE ACUERDO CON EL PLAN DE PRODUCCIÓN.</t>
  </si>
  <si>
    <t xml:space="preserve">MECÁNICA DE MATERIALES
</t>
  </si>
  <si>
    <t xml:space="preserve">REALIZAR LA TRAZABILIDAD AL FLUJO DE MATERIALES Y DE INFORMACIÓN DE ACUERDO CON NECESIDADES U OBJETIVOS </t>
  </si>
  <si>
    <t>GEOLOGÍA</t>
  </si>
  <si>
    <t xml:space="preserve">ASEGURAR EL CUMPLIMIENTO DE LOS PROGRAMAS DE CALIDAD, CONTROL AMBIENTAL, SEGURIDAD Y SALUD OCUPACIONAL DE </t>
  </si>
  <si>
    <t>PROFUNDIZACIÓN I (73977-SISTEMAS INTEGRADOS DE GESTIÓN)</t>
  </si>
  <si>
    <t>INGLÉS 4</t>
  </si>
  <si>
    <t xml:space="preserve">GESTIONAR EL ALMACENAMIENTO DE MATERIALES DE ACUERDO CON PROTOCOLOS Y NORMAS ESTABLECIDAS EN LA </t>
  </si>
  <si>
    <t xml:space="preserve">OPERACIONAL Y NUMÉRICOS
</t>
  </si>
  <si>
    <t xml:space="preserve">DEFINIR PROCEDIMIENTO PARA TRASLADO DE MATERIALES DE ACUERDO CON CARACTERÍSTICAS, EQUIPOS DE TRASPORTE Y </t>
  </si>
  <si>
    <t xml:space="preserve">MECÁNICA DE FLUIDOS
</t>
  </si>
  <si>
    <t>ESTABLECER PLAN SANITARIO SEGÚN ESPECIE ANIMAL, PLAN DE PRODUCCIÓN Y NORMATIVIDAD VIGENTE.</t>
  </si>
  <si>
    <t>ADECUAR EL SITIO DE CULTIVO DE ACUERDO CON LA LÍNEA DE PRODUCCIÓN Y PROTOCOLO DE LA ESPECIE.</t>
  </si>
  <si>
    <t xml:space="preserve">VÍAS
VÍAS
</t>
  </si>
  <si>
    <t>SEMBRAR ORGANISMOS HIDROBIOLÓGICOS DE ACUERDO CON EL SISTEMA, LA LÍNEA DE PRODUCCIÓN Y EL PROTOCOLO PARA LA ESPECIE.</t>
  </si>
  <si>
    <t>RECURSOS HIDROBIOLÓGICOS (ELECTIVA)</t>
  </si>
  <si>
    <t>INGLÉS 5</t>
  </si>
  <si>
    <t>MANEJAR LOS CULTIVOS CON EL FIN DE OFRECER CONDICIONES ADECUADAS PARA SU
 DESARROLLO.</t>
  </si>
  <si>
    <t>CONCRETO REFORZADO
TUBERÍAS Y CANALES</t>
  </si>
  <si>
    <t>DESARROLLO SOSTENIBLE (ELECTIVA)</t>
  </si>
  <si>
    <t>TUBERÍAS Y CANALES</t>
  </si>
  <si>
    <t>COSECHAR EL PRODUCTO CUMPLIENDO CON LAS NORMAS TÉCNICAS Y DE CALIDAD ESTABLECIDAS PARA CADA ESPECIE</t>
  </si>
  <si>
    <t>HIDROLOGÍA</t>
  </si>
  <si>
    <t>REPRODUCIR LA ESPECIE ACORDE A SUS REQUERIMIENTOS Y PROTOCOLOS
 ESTABLECIDOS.</t>
  </si>
  <si>
    <t>GEOMÁTICA</t>
  </si>
  <si>
    <t>COORDINAR PRODUCCIÓN DE ESPECIE PECUARIA SEGÚN OBJETIVOS DE LA</t>
  </si>
  <si>
    <t>LIDERAZGO Y COMUNICACIÓN</t>
  </si>
  <si>
    <t xml:space="preserve">CONCRETO PRESFORZADO
CONCRETO PRESFORZADO
</t>
  </si>
  <si>
    <t xml:space="preserve">ACUEDUCTOS Y ALCANTARILLADOS
</t>
  </si>
  <si>
    <t xml:space="preserve">FUNDACIONES
</t>
  </si>
  <si>
    <t>COSECHAR EL PRODUCTO SIGUIENDO LAS ESPECIFICACIONES TÉCNICAS DEFINIDAS.</t>
  </si>
  <si>
    <t>CULTIVOS COMERCIALES (ELECTIVA)</t>
  </si>
  <si>
    <t>MANTENER EL CULTIVO SEGÚN RECOMENDACIONES AGRONÓMICAS.</t>
  </si>
  <si>
    <t>ECONOMÍA Y CONTABILIDAD</t>
  </si>
  <si>
    <t xml:space="preserve">FILOSOFÍA POLÍTICA
</t>
  </si>
  <si>
    <t>RIEGOS Y DRENAJES (ELECTIVA)</t>
  </si>
  <si>
    <t xml:space="preserve">TRATAMIENTO DE AGUAS
</t>
  </si>
  <si>
    <t>PREPARAR TERRENO  PARA SIEMBRA SEGÚN CULTIVO Y REQUERIMIENTOS TECNICOS</t>
  </si>
  <si>
    <t>MAQUINARIA AGRÍCOLA (ELECTIVA)</t>
  </si>
  <si>
    <t xml:space="preserve">GESTIÓN AMBIENTAL
</t>
  </si>
  <si>
    <t>DETERMINAR LABORES AGRÍCOLAS DE LA EXPLOTACIÓN PECUARIA SEGÚN MANUAL DE PROCEDIMIENTOS</t>
  </si>
  <si>
    <t xml:space="preserve">PAVIMENTOS
</t>
  </si>
  <si>
    <t>IMPLEMENTAR BASES DE PRODUCCIÓN SEGÚN REQUERIMIENTOS DE LA EMPRESA.</t>
  </si>
  <si>
    <t>SEMINARIO Y OPCIÓN DE GRADO 1</t>
  </si>
  <si>
    <t>COMPONENTE DE ÉNFASIS 2</t>
  </si>
  <si>
    <t>COMPONENTE DE ÉNFASIS 3</t>
  </si>
  <si>
    <t>APLICAR PLAN DE ALIMENTACIÓN SEGÚN ESPECIE ANIMAL, PLAN DE PRODUCCIÓN Y NORMATIVIDAD VIGENTE.</t>
  </si>
  <si>
    <t>SEMINARIO Y OPCIÓN DE GRADO 2</t>
  </si>
  <si>
    <t>EJECUTAR PROCESO DE REPRODUCCIÓN NATURAL SEGÚN ESPECIE ANIMAL, PARÁMETROS TÉCNICOS Y OBJETIVOS DE PRODUCCIÓN.</t>
  </si>
  <si>
    <t>SISTEMAS DE PRODUCCIÓN EQUINOS (PROFUNDIZACIÓN)</t>
  </si>
  <si>
    <t>COMPONENTE DE ÉNFASIS 4</t>
  </si>
  <si>
    <t>ESTABLECER PLAN SANITARIO SEGÚN ESPECIE ANIMAL, PLAN DE PRODUCCIÓN
Y NORMATIVIDAD VIGENTE.</t>
  </si>
  <si>
    <t>CÁTEDRAS OPCIONALES</t>
  </si>
  <si>
    <t>HERRAR EQUINOS APLICANDO CRITERIOS TÉCNICOS Y PROTOCOLOS
DEFINIDOS.</t>
  </si>
  <si>
    <t xml:space="preserve">COMPONENTE DE ÉNFASIS 5 </t>
  </si>
  <si>
    <t>REALIZAR LABORES DE EQUITACIÓN SEGÚN PARÁMETROS TÉCNICOS Y TIPO DE
EXPLOTACIÓN.</t>
  </si>
  <si>
    <t>CLASIFICACIÓN Y JUZGAMIENTO (PROFUNDIZACIÓN)</t>
  </si>
  <si>
    <t>MODELOS PEDAGÓGICOS (PRÁCTICA DE OBSERVACIÓN I)</t>
  </si>
  <si>
    <t>ADMINISTRAR LOS RECURSOS LOGRANDO LA PRODUCTIVIDAD DEL ÁREA</t>
  </si>
  <si>
    <t>HISTORIA Y CONCEPCIONES DE INFANCIA</t>
  </si>
  <si>
    <t>DIAGNOSTICAR LA FINCA CAFETERA PARA CONOCER LA SITUACIÓN</t>
  </si>
  <si>
    <t>SEMINARIO DE FILOSOFÍA INSTITUCIONAL</t>
  </si>
  <si>
    <t>GESTIÓN ADMINISTRATIVA (ELECTIVA)</t>
  </si>
  <si>
    <t>AMBIENTES VIRTUALES DE APRENDIZAJE (PRÁCTICA FORMATIVA I)</t>
  </si>
  <si>
    <t>PROCESOS DEL APRENDIZAJE (PRÁCTICA DE OBSERVACIÓN II)</t>
  </si>
  <si>
    <t>EXPLORACIÓN DEL ENTORNO BIOLÓGICO</t>
  </si>
  <si>
    <t>ATENDER REQUERIMIENTO DE ALOJAMIENTO SEGÚN ESPECIE ANIMAL, FASE PRODUCTIVA Y CRITERIO TÉCNICO.</t>
  </si>
  <si>
    <t>INSTALACIONES AGROPECUARIAS (ELECTIVA)</t>
  </si>
  <si>
    <t>AMBIENTES VIRTUALES DE APRENDIZAJE (PRÁCTICA FORMATIVA II)</t>
  </si>
  <si>
    <t>ESTABLECER PLAN SANITARIO SEGÚN ESPECIE ANIMAL, PLAN DE PRODUCCIÓN Y ORMATIVIDAD VIGENTE.</t>
  </si>
  <si>
    <t>PENSAMIENTO LÓGICO</t>
  </si>
  <si>
    <t>INSEMINAR HEMBRAS APLICANDO MÉTODO ARTIFICIAL DE ACUERDO CON PROTOCOLO STABLECIDO.</t>
  </si>
  <si>
    <t>CURRÍCULO Y DIDÁCTICA (PRÁCTICA FORMATIVA III)</t>
  </si>
  <si>
    <t>MANEJAR PRADERAS SEGÚN CRITERIOS AGRONÓMICOS Y NORMATIVIDAD VIGENTE</t>
  </si>
  <si>
    <t>EXPLORACIÓN DEL ENTORNO COGNITIVO</t>
  </si>
  <si>
    <t>ORDEÑAR ANIMALES DE LA EMPRESA PECUARIA SEGÚN NORMATIVIDAD
VIGENTE.</t>
  </si>
  <si>
    <t>FUNDAMENTOS Y ENFOQUES DE LA INVESTIGACIÓN</t>
  </si>
  <si>
    <t>EVALUACIÓN EN EL CONTEXTO ESCOLAR (PRÁCTICA FORMATIVA IV)</t>
  </si>
  <si>
    <t>EXPLORACIÓN DE LAS HABILIDADES BÁSICAS PARA EL APRENDIZAJE</t>
  </si>
  <si>
    <t>INVESTIGACIÓN EN EDUCACIÓN Y PEDAGOGÍA</t>
  </si>
  <si>
    <t>GESTIÓN AMBIENTAL (ELECTIVA)</t>
  </si>
  <si>
    <t>FILOSOFÍA POLÍTICA (CULTURA DE PAZ)</t>
  </si>
  <si>
    <t>INSEMINAR HEMBRAS APLICANDO MÉTODO ARTIFICIAL DE ACUERDO CON PROTOCOLO ESTABLECIDO.</t>
  </si>
  <si>
    <t>APROVECHAR RECURSO PESQUERO DE ACUERDO CON INFORMACIÓN DE ÁREAS DE CAPTURA, Y NORMATIVIDAD DE PESCA.</t>
  </si>
  <si>
    <t>POLÍTICA EDUCATIVA, GESTIÓN Y ADMINISTRACIÓN (PRÁCTICA FORMATIVA V)</t>
  </si>
  <si>
    <t>LÚDICA Y VIVENCIA CORPORAL</t>
  </si>
  <si>
    <t>EVALUAR EL IMPACTO AMBIENTAL EN ACTIVIDADES, PRODUCTOS Y SERVICIOS
DE ACUERDO CON LA NORMATIVIDAD LEGAL VIGENTE.</t>
  </si>
  <si>
    <t>REALIDADES Y CONTEXTOS DE LA INFANCIA</t>
  </si>
  <si>
    <t>SISTEMAS DE PRODUCCIÓN DE ANIMALES SILVESTRES (PROFUNDIZACIÓN)</t>
  </si>
  <si>
    <t>MANEJAR LOS CULTIVOS CON EL FIN DE OFRECER CONDICIONES ADECUADAS PARA SU DESARROLLO.</t>
  </si>
  <si>
    <t>SEMINARIO INVESTIGATIVO</t>
  </si>
  <si>
    <t>REALIZAR NEGOCIACIÓN CON LOS PROVEEDORES Y CLIENTES, SEGÚN LOS OBJETIVOS Y ESTRATEGIAS ESTABLECIDAS POR LA ORGANIZACIÓN.</t>
  </si>
  <si>
    <t>CURRÍCULO Y APRENDIZAJE EN LA EDUCACIÓN INFANTIL (PRÁCTICA FORMATIVA VI)</t>
  </si>
  <si>
    <t>HABILIDADES COMUNICATIVAS EN LA INFANCIA I</t>
  </si>
  <si>
    <t>REPRODUCIR LA ESPECIE ACORDE A SUS REQUERIMIENTOS Y PROTOCOLOS  ESTABLECIDOS.</t>
  </si>
  <si>
    <t>CÁTEDRA OPCIONAL</t>
  </si>
  <si>
    <t>BRINDAR INFORMACIÓN LOCAL DE ACUERDO CON LAS NECESIDADES DE LA
COMUNIDAD.</t>
  </si>
  <si>
    <t>GESTIÓN HUMANA (ELECTIVA)</t>
  </si>
  <si>
    <t>DIDÁCTICA ESPECÍFICA (PRÁCTICA - PROYECTO DE AULA, TRABAJO PEDAGÓGICO DE 0 A 3 AÑOS)</t>
  </si>
  <si>
    <t>GESTIONAR EL PLAN GENERAL DE ASISTENCIA TÉCNICA AGROPECUARIA RURAL, EN FUNCIÓN DE LAS NECESIDADES DE LOS PRODUCTORES Y NORMATIVIDAD
VIGENTE</t>
  </si>
  <si>
    <t>LÚDICA Y VIVENCIA MUSICAL</t>
  </si>
  <si>
    <t>FUNDAMENTACIÓN EN INVESTIGACIÓN I (ANTEPROYECTO)</t>
  </si>
  <si>
    <t>GESTIÓN FINANCIERA (ELECTIVA)</t>
  </si>
  <si>
    <t>HABILIDADES COMUNICATIVAS EN LA INFANCIA II</t>
  </si>
  <si>
    <t>PROPONER ALTERNATIVAS DE SOLUCIÓN QUE CONTRIBUYAN AL LOGRO DE LOS
OBJETIVOS DE ACUERDO CON EL NIVEL DE IMPORTANCIA Y RESPONSABILIDAD
DE LAS FUNCIONES ASIGNADAS POR LA ORGANIZACIÓN.</t>
  </si>
  <si>
    <t>PRÁCTICA PEDAGÓGICA (MEDIOS Y MEDIACIONES EN LA EDUCACIÓN INFANTIL)</t>
  </si>
  <si>
    <t>LÚDICA Y EXPRESIÓN CREATIVA</t>
  </si>
  <si>
    <t>EJECUTAR PLANES DE MERCADEO DE ACUERDO CON LOS OBJETIVOS Y RECURSOS DE LA
ORGANIZACIÓN</t>
  </si>
  <si>
    <t>EXPLORACIÓN DE LAS HABILIDADES MATEMÁTICAS</t>
  </si>
  <si>
    <t>ASISTIR DESARROLLO DE LABOR AGRÍCOLA DE LA UNIDAD PECUARIA SEGÚN
PLAN DE PRODUCCIÓN Y MANUAL DE PROCEDIMIENTO.</t>
  </si>
  <si>
    <t>LITERATURA Y TRADICIONAL ORAL EN LA INFANCIA</t>
  </si>
  <si>
    <t>CRIAR ESPECIE MENOR HERBÍVORA MONOGÁSTRICA SEGÚN PARÁMETRO
TÉCNICO, ECONÓMICO Y REQUERIMIENTO DEL MERCADO.</t>
  </si>
  <si>
    <t>SISTEMAS DE PRODUCCIÓN CUNICULA (PROFUNDIZACIÓN)</t>
  </si>
  <si>
    <t>PRÁCTICA PEDAGÓGICA DE AULA (TRABAJO PEDAGÓGICO DE 3 A 7 AÑOS)</t>
  </si>
  <si>
    <t>CENTROS INFANTILES Y CONTEXTOS ESCOLARES</t>
  </si>
  <si>
    <t>FUNDAMENTACIÓN EN INVESTIGACIÓN II (PROYECTO)</t>
  </si>
  <si>
    <t>APLICAR PRÁCTICAS PREVENTIVAS O CORRECTIVAS AL CULTIVO PARA EL MANEJO DE PLAGAS TENIENDO EN CUENTA LAS CONDICIONES AGROECOLÓGICAS Y EL CULTIVO.</t>
  </si>
  <si>
    <t>CONTABILIZAR LOS RECURSOS DE OPERACIÓN, INVERSIÓN Y FINANCIACIÓN DE ACUERDO CON LAS NORMAS Y POLÍTICAS ORGANIZACIONALES.</t>
  </si>
  <si>
    <t>PRÁCTICA PEDAGÓGICA COMUNITARIA (INFANCIA, AMBIENTE Y COMUNIDAD)</t>
  </si>
  <si>
    <t>EXPLORACIÓN DEL ENTORNO AFECTIVO Y SOCIAL</t>
  </si>
  <si>
    <t>SEMINARIO INTERDISCIPLINARIO</t>
  </si>
  <si>
    <t>COORDINAR PROYECTOS DE ACUERDO CON LOS PLANES Y PROGRAMAS ESTABLECIDOS POR LA EMPRESA.</t>
  </si>
  <si>
    <t>CN LECTO-E</t>
  </si>
  <si>
    <t>ESTABLECER EL SISTEMA DE RIEGO SEGÚN REQUERIMIENTOS TÉCNICOS DE CULTIVO.</t>
  </si>
  <si>
    <t>MANEJAR LA PRODUCCIÓN DE LAS ESPECIES PECUARIAS CONFORME A LA NORMATIVIDAD DE LA AGRICULTURA ECOLÓGICA.</t>
  </si>
  <si>
    <t>PRODUCCIÓN DE TEXTO</t>
  </si>
  <si>
    <t>MANEJAR LOS CULTIVOS CON EL FIN DE OFRECER CONDICIONES ADECUADAS PARA SU DESARROLLO</t>
  </si>
  <si>
    <t>HUMANIDADES I</t>
  </si>
  <si>
    <t>ORIENTAR EL TALENTO HUMANO APLICANDO LA LEGISLACIÓN LABORAL VIGENTE.</t>
  </si>
  <si>
    <t>CÁTEDRA FORMACIÓN FÍSICA INTEGRAL, HENRI DIDON</t>
  </si>
  <si>
    <t xml:space="preserve">PLANEAR ACTIVIDADES DE MERCADEO QUE RESPONDAN A LAS NECESIDADES Y EXPECTATIVAS DE LOS CLIENTES Y A LOS OBJETIVOS DE LA EMPRESA. </t>
  </si>
  <si>
    <t>PRAXIOLOGÍA MOTRIZ</t>
  </si>
  <si>
    <t>GESTIÓN MERCADEO AROPECUARIO (PROFUNDIZACIÓN)</t>
  </si>
  <si>
    <t xml:space="preserve">PLANEAR LA PRODUCCIÓN SEGÚN LOS REQUERIMIENTOS DEL MERCADO Y NORMAS TÉCNICAS NACIONALES VIGENTES. </t>
  </si>
  <si>
    <t xml:space="preserve">DESARROLLO SOSTENIBLE (ELECTIVA) </t>
  </si>
  <si>
    <t>SOCIOLOGÍA DEL DEPORTE</t>
  </si>
  <si>
    <t>PREPARAR LA COSECHA SIGUIENDO LAS ESPECIFICACIONES TÉCNICAS DEFINIDAS.</t>
  </si>
  <si>
    <t>PROMOVER LA INTERACCIÓN IDÓNEA CONSIGO MISMO, CON LOS DEMÁS Y CON LA NATURALEZA EN LOS CONTEXTOS LABORAL Y SOCIAL.</t>
  </si>
  <si>
    <t>REPRODUCIR LAS ESPECIES PECUARIAS CONFORME A LA NORMATIVIDAD DE LA AGRICULTURA ECOLÓGICA Y LOS PRINCIPIOS DE LA AGROECOLOGÍA.</t>
  </si>
  <si>
    <t>SEMBRAR MATERIAL VEGETAL O TUBÉRCULOS CON BASE EN PARÁMETROS TÉCNICOS</t>
  </si>
  <si>
    <t>HUMANIDADES II</t>
  </si>
  <si>
    <t>SUPERVISAR EL SISTEMA PRODUCTIVO DE ACUERDO AL PLAN DE PRODUCCIÓN.</t>
  </si>
  <si>
    <t>BIOMECÁNICA</t>
  </si>
  <si>
    <t>NUTRICIÓN PARA LA ACTIVIDAD FÍSICA Y EL DEPORTE</t>
  </si>
  <si>
    <t>PEDAGOGÍA DEL JUEGO</t>
  </si>
  <si>
    <t>GESTIÓN EN LA PRODUCCIÓN CÁRNICA (ELECTIVA)</t>
  </si>
  <si>
    <t>HABILIDADES INVESTIGATIVAS</t>
  </si>
  <si>
    <t>IMPLEMENTAR PRODUCCIÓN DE ALIMENTO BALANCEADO SEGÚN PROGRAMA DE
 ALIMENTACIÓN Y PLAN DE PRODUCCIÓN</t>
  </si>
  <si>
    <t>DISEÑO Y GESTIÓN DE PROYECTOS DE LA C.F.D.R.</t>
  </si>
  <si>
    <t>HUMANIDADES III</t>
  </si>
  <si>
    <t>ENFERMEDADES CRÓNICAS NO TRANSMISIBLES - PATOKINESIS</t>
  </si>
  <si>
    <t>DEPORTES DE ARTE Y PRECISIÓN</t>
  </si>
  <si>
    <t>METODOLOGÍAS PARA LA ENSEÑANZA DE LA RECREACIÓN</t>
  </si>
  <si>
    <t>MARKETING DEPORTIVO</t>
  </si>
  <si>
    <t>SEMBRAR ORGANISMOS HIDROBIOLÓGICOS DE ACUERDO CON EL SISTEMA, LA LÍNEA DE
 PRODUCCIÓN Y EL PROTOCOLO PARA LA ESPECIE.</t>
  </si>
  <si>
    <t>EVALUACIÓN FUNCIONAL</t>
  </si>
  <si>
    <t>HUMANIDADES IV</t>
  </si>
  <si>
    <t>ECOFISIOLOGÍA (PROFUNDIZACIÓN)</t>
  </si>
  <si>
    <t>DEPORTES DE COMBATE</t>
  </si>
  <si>
    <t>DEPORTES DE CONJUNTO</t>
  </si>
  <si>
    <t>MARCO CONCEPTUAL, HISTORIA Y TENDENCIAS DE LA RECREACIÓN</t>
  </si>
  <si>
    <t>PLANIFICAR LA CONSTRUCCIÓN DE INFRAESTRUCTURAS ACUÍCOLAS, CONFORME A LOS REQUERIMIENTOS DE LA PRODUCCIÓN.</t>
  </si>
  <si>
    <t xml:space="preserve">INSTALACIONES AGROPECUARIAS (ELECTIVA) </t>
  </si>
  <si>
    <t>ESTADÍSTICA APLICADA A LA INVESTIGACIÓN</t>
  </si>
  <si>
    <t>CAMPAMENTO Y EDUCACIÓN PARA LA VIDA</t>
  </si>
  <si>
    <t>GESTIONAR PROYECTOS EMPRESARIALES RURALES SOSTENIBLES.</t>
  </si>
  <si>
    <t>DEPORTES DE TIEMPO Y MARCA</t>
  </si>
  <si>
    <t>EJECUTAR PLANES DE MERCADEO DE ACUERDO CON LOS OBJETIVOS Y RECURSOS DE LA ORGANIZACIÓN</t>
  </si>
  <si>
    <t>GESTIÓN DE MERCADEO AGROPECUARIO (ELECTIVA)</t>
  </si>
  <si>
    <t>PSICOLOGÍA DEPORTIVA</t>
  </si>
  <si>
    <t>DEPORTES ALTERNATIVOS</t>
  </si>
  <si>
    <t xml:space="preserve">ASISTIR DESARROLLO DE LABOR AGRÍCOLA DE LA UNIDAD PECUARIA SEGÚN PLAN DE PRODUCCIÓN Y MANUAL DE PROCEDIMIENTO. </t>
  </si>
  <si>
    <t>EDUCACIÓN EXPERIENCIAL</t>
  </si>
  <si>
    <t>ADMINISTRACIÓN DE LOS ORGANISMOS DEPORTIVOS</t>
  </si>
  <si>
    <t xml:space="preserve">ESTABLECER PLAN SANITARIO SEGÚN ESPECIE ANIMAL, PLAN DE PRODUCCIÓN Y NORMATIVIDAD
VIGENTE
</t>
  </si>
  <si>
    <t>TECNOLOGÍA APLICADA A LA CFDR</t>
  </si>
  <si>
    <t xml:space="preserve">APLICAR PLAN DE ALIMENTACIÓN SEGÚN ESPECIE ANIMAL, PLAN DE PRODUCCIÓN Y NORMATIVIDAD VIGENTE. </t>
  </si>
  <si>
    <t>PROFUNDIZACIÓN 1</t>
  </si>
  <si>
    <t>PROFUNDIZACIÓN 2</t>
  </si>
  <si>
    <t xml:space="preserve">IMPLEMENTAR PRODUCCIÓN DE ALIMENTO BALANCEADO SEGÚN PROGRAMA DE ALIMENTACIÓN Y PLAN DE PRODUCCIÓN.
</t>
  </si>
  <si>
    <t>HUMANIDADES V</t>
  </si>
  <si>
    <t>INDUSTRIALIZAR EMBUTIDOS CÁRNICOS CON BASE EN ORDEN DE PRODUCCIÓN Y LA LEGISLACIÓN VIGENTE</t>
  </si>
  <si>
    <t>PROYECTO DE INVESTIGACIÓN</t>
  </si>
  <si>
    <t xml:space="preserve">EJECUTAR PROCESO DE REPRODUCCIÓN NATURAL SEGÚN ESPECIE ANIMAL, PARÁMETROS
TÉCNICOS Y OBJETIVOS DE PRODUCCIÓN. </t>
  </si>
  <si>
    <t>PROFUNDIZACIÓN 3</t>
  </si>
  <si>
    <t>PRODUCIR DERIVADOS LÁCTEOS SEGÚN SOLICITUD DEL CLIENTE Y LEGISLACIÓN VIGENTE</t>
  </si>
  <si>
    <t>PROFUNDIZACIÓN 4</t>
  </si>
  <si>
    <t>PRACTICAS PROFESIONALES</t>
  </si>
  <si>
    <t>APLICAR PLAN DE ALIMENTACIÓN SEGÚN ESPECIE ANIMAL, PLAN DE PRODUCCIÓN Y NORMATIVIDAD VIGENTE</t>
  </si>
  <si>
    <t xml:space="preserve">ASISTIR DESARROLLO DE LABOR AGRÍCOLA DE LA UNIDAD PECUARIA SEGÚN PLAN DE
PRODUCCIÓN Y MANUAL DE PROCEDIMIENTO
</t>
  </si>
  <si>
    <t xml:space="preserve">EJECUTAR PROCESO DE REPRODUCCIÓN NATURAL SEGÚN ESPECIE ANIMAL, PARÁMETROS
TÉCNICOS Y OBJETIVOS DE PRODUCCIÓN.
</t>
  </si>
  <si>
    <t>BIOLOGÍA</t>
  </si>
  <si>
    <t>CÁTEDRA FORMACIÓN FÍSICA INTEGRAL - HENRI DIDON</t>
  </si>
  <si>
    <t xml:space="preserve">EVALUAR EL IMPACTO AMBIENTAL EN ACTIVIDADES, PRODUCTOS Y SERVICIOS DE ACUERDO
CON LA NORMATIVIDAD LEGAL VIGENTE.
</t>
  </si>
  <si>
    <t xml:space="preserve">IMPLEMENTAR PRODUCCIÓN DE ALIMENTO BALANCEADO SEGÚN PROGRAMA DE ALIMENTACIÓN
Y PLAN DE PRODUCCIÓN.
</t>
  </si>
  <si>
    <t>ECOLOGÍA</t>
  </si>
  <si>
    <t xml:space="preserve">INDUSTRIALIZAR EMBUTIDOS CÁRNICOS CON BASE EN ORDEN DE PRODUCCIÓN Y LA
LEGISLACIÓN VIGENTE
</t>
  </si>
  <si>
    <t>LENGUA EXTRANJERA I</t>
  </si>
  <si>
    <t xml:space="preserve">INSEMINAR HEMBRAS APLICANDO MÉTODO ARTIFICIAL DE ACUERDO CON PROTOCOLO
ESTABLECIDO
</t>
  </si>
  <si>
    <t>ORDEÑAR ANIMALES EN LA EMPRESA PECUARIA SEGÚN MANUAL DE PROCEDIMIENTOS</t>
  </si>
  <si>
    <t>GESTIÓN EN LA PRODUCCIÓN LÁCTEA (PROFUNDIZACIÓN)</t>
  </si>
  <si>
    <t>QUÍMICA INORGÁNICA</t>
  </si>
  <si>
    <t>PROCESO PEDAGÓGICO</t>
  </si>
  <si>
    <t>INVESTIGACIÓN EN INGENIERÍA</t>
  </si>
  <si>
    <t xml:space="preserve">CUIDADO DE NIÑOS Y NIÑAS </t>
  </si>
  <si>
    <t>QUÍMICA ORGÁNICA</t>
  </si>
  <si>
    <t xml:space="preserve">PROCESOS DE COMUNICACIÓN EFICACES Y EFECTIVOS </t>
  </si>
  <si>
    <t>FÍSICA DE ONDAS, FLUIDOS Y CALOR</t>
  </si>
  <si>
    <t xml:space="preserve">ÉTICA Y PAZ </t>
  </si>
  <si>
    <t>LENGUA EXTRANJERA II</t>
  </si>
  <si>
    <t>CONTABILIZAR LOS RECURSOS DE OPERACIÓN, INVERSIÓN Y FINANCIACIÓN DE ACUERDO CON LAS NORMAS Y POLÍTICAS ORGANIZACIONALES</t>
  </si>
  <si>
    <t>PROPONER ALTERNATIVAS DE SOLUCIÓN QUE CONTRIBUYAN AL LOGRO DE LOS OBJETIVOS DE ACUERDO CON EL NIVEL DE IMPORTANCIA Y RESPONSABILIDAD DE LAS FUNCIONES ASIGNADAS POR LA ORGANIZACIÓN.</t>
  </si>
  <si>
    <t>MECÁNICA DE FLUIDOS</t>
  </si>
  <si>
    <t>MEDIR LA EFECTIVIDAD DEL CANAL DE ACUERDO CON LAS METAS DE VENTAS.</t>
  </si>
  <si>
    <t>REALIZAR EVENTOS DE COMUNICACIÓN DE MERCADEO, TENIENDO EN CUENTA LAS CARACTERÍSTICAS Y NECESIDADES DE LOS CLIENTES.</t>
  </si>
  <si>
    <t>BALANCE DE MATERIA Y ENERGÍA</t>
  </si>
  <si>
    <t>COORDINAR LA ACCIÓN DE VENTAS DE ACUERDO CON LOS OBJETIVOS DE VENTAS Y EL PLAN DE MERCADEO.</t>
  </si>
  <si>
    <t>LENGUA EXTRANJERA III</t>
  </si>
  <si>
    <t>PROYECTAR EL MERCADO DE ACUERDO CON EL TIPO DE PRODUCTO O SERVICIO Y CARACTERÍSTICAS DE LOS CONSUMIDORES Y USUARIOS</t>
  </si>
  <si>
    <t>EVALUAR ACCIONES Y RESULTADOS DE MERCADEO SEGÚN OBJETIVOS Y METAS DE LA EMPRESA.</t>
  </si>
  <si>
    <t>MICROBIOLOGÍA AMBIENTAL</t>
  </si>
  <si>
    <t>DETERMINAR OPORTUNIDADES DE MERCADO DE ACUERDO CON LAS TENDENCIAS DEL ENTORNO Y LOS OBJETIVOS DE LA EMPRESA.</t>
  </si>
  <si>
    <t>RECURSOS HIDRÁULICOS</t>
  </si>
  <si>
    <t>PLANEAR ACTIVIDADES DE MERCADEO QUE RESPONDAN A LAS NECESIDADES Y EXPECTATIVAS DE LOS CLIENTES Y A LOS OBJETIVOS DE LA EMPRESA.</t>
  </si>
  <si>
    <t>GESTIONAR LAS SUPERFICIES EN LOS PUNTOS DE VENTA SEGÚN ESTRATEGIAS DE EXHIBICIÓN.</t>
  </si>
  <si>
    <t>CLIMATOLOGÍA</t>
  </si>
  <si>
    <t>ESTRUCTURAR LA FUERZA DE VENTAS CON BASE EN LOS OBJETIVOS Y METAS DE VENTAS.</t>
  </si>
  <si>
    <t>LENGUA EXTRANJERA IV</t>
  </si>
  <si>
    <t>ADMINISTRAR LA FUERZA DE VENTAS DE ACUERDO CON LOS OBJETIVOS DE VENTAS Y ESTÁNDARES ESTABLECIDOS POR LA ORGANIZACIÓN.</t>
  </si>
  <si>
    <t>FUNDAMENTOS DE ECONOMÍA Y ADMINISTRACIÓN</t>
  </si>
  <si>
    <t>PRODUCIR LOS DOCUMENTOS QUE SE ORIGINEN DE LAS FUNCIONES ADMINISTRATIVAS, SIGUIENDO LA NORMA TÉCNICA Y LA LEGISLACIÓN VIGENTE.</t>
  </si>
  <si>
    <t>INTERVENIR EN EL DESARROLLO DE LOS PROGRAMAS DE MEJORAMIENTO ORGANIZACIONAL QUE SE DERIVEN DE LA FUNCIÓN ADMINISTRATIVA</t>
  </si>
  <si>
    <t>ORGANIZAR LA DOCUMENTACIÓN TENIENDO EN CUENTA LAS NORMAS LEGALES Y DE LA ORGANIZACIÓN</t>
  </si>
  <si>
    <t>ECONOMÍA AMBIENTAL</t>
  </si>
  <si>
    <t>APLICAR TECNOLOGÍAS DE LA INFORMACIÓN TENIENDO EN CUENTA LAS NECESIDADES DE LA UNIDAD ADMINISTRATIVA.</t>
  </si>
  <si>
    <t>PROCESAR LA INFORMACIÓN DE ACUERDO CON LAS NECESIDADES DE LA ORGANIZACIÓN</t>
  </si>
  <si>
    <t>POTABILIZACIÓN DE AGUA</t>
  </si>
  <si>
    <t>FACILITAR EL SERVICIO A LOS CLIENTES INTERNOS Y EXTERNOS DE ACUERDO CON LAS POLÍTICAS DE LA ORGANIZACIÓN.</t>
  </si>
  <si>
    <t>LENGUA EXTRANJERA V</t>
  </si>
  <si>
    <t>COORDINAR LAS ACTIVIDADES DEL TALENTO HUMANO ASIGNADO, TENIENDO EN CUENTA LAS FUNCIONES DE LA UNIDAD ADMINISTRATIVA</t>
  </si>
  <si>
    <t>PROPONER PROGRAMAS DE CAPACITACIÓN PARA EL PERSONAL DE LA UNIDAD ADMINISTRATIVA, DE ACUERDO CON LAS POLÍTICAS DE LA ORGANIZACIÓN</t>
  </si>
  <si>
    <t>MODELACIÓN Y SIMULACIÓN AMBIENTAL</t>
  </si>
  <si>
    <t>DAR ASESORÍA COMERCIAL Y FINANCIERA QUE CONDUZCA A LA SATISFACCIÓN DE LAS EXPECTATIVAS Y NECESIDADES REALES DEL CLIENTE.</t>
  </si>
  <si>
    <t>FIDELIZAR AL CLIENTE INCREMENTADO LOS VÍNCULOS COMERCIALES Y LOGRANDO LA RENTABILIDAD DEL NEGOCIO DE ACUERDO CON LAS POLÍTICAS INSTITUCIONALES.</t>
  </si>
  <si>
    <t>ANALIZAR EL RIESGO CREDITICIO DE ACUERDO CON LAS POLÍTICAS INSTITUCIONALES Y NORMATIVIDAD VIGENTE.</t>
  </si>
  <si>
    <t>PRODUCCIÓN MÁS LIMPIA</t>
  </si>
  <si>
    <t>PROCESAR DEPÓSITOS, PAGOS Y RETIROS EN MONEDA LEGAL Y EXTRANJERA DE ACUERDO A LAS NORMAS LEGALES E INSTITUCIONALES VIGENTES.</t>
  </si>
  <si>
    <t>ELECTIVA PROFUNDIZACIÓN II</t>
  </si>
  <si>
    <t>FORMALIZAR LAS OPERACIONES DE CRÉDITO DE ACUERDO CON LO APROBADO Y LA POLÍTICA INSTITUCIONAL.</t>
  </si>
  <si>
    <t>SEMINARIO DE GRADO</t>
  </si>
  <si>
    <t>VINCULAR AL CLIENTE DE ACUERDO CON LAS NORMAS INTERNAS Y EXTERNAS ESTABLECIDAS</t>
  </si>
  <si>
    <t>ADMINISTRAR EL RIESGO DE LA UNIDAD DE NEGOCIO DE ACUERDO CON LAS POLÍTICAS INSTITUCIONALES.</t>
  </si>
  <si>
    <t>ENRIQUE LOW MURTRA-INTERACTUAR EN EL CONTEXTO PRODUCTIVO Y SOCIAL DE ACUERDO CON PRINCIPIOS  ÉTICOS PARA LA CONSTRUCCIÓN DE UNA CULTURA DE PAZ.</t>
  </si>
  <si>
    <t>EJERCER DERECHOS FUNDAMENTALES DEL TRABAJO EN EL MARCO DE LA CONSTITUCIÓN POLÍTICA Y LOS CONVENIOS INTERNACIONALES</t>
  </si>
  <si>
    <t>ELECTIVA PROFUNDIZACIÓN III</t>
  </si>
  <si>
    <t>SEMINARIO DE ACTUALIZACIÓN</t>
  </si>
  <si>
    <t>GENERAR HÁBITOS SALUDABLES DE VIDA MEDIANTE LA APLICACIÓN DE PROGRAMAS DE ACTIVIDAD FÍSICA EN LOS CONTEXTOS PRODUCTIVOS Y SOCIALES.</t>
  </si>
  <si>
    <t>DIRIGIR EL TALENTO HUMANO DE ACUERDO CON NORMATIVA</t>
  </si>
  <si>
    <t>ORIENTAR INVESTIGACIÓN FORMATIVA SEGÚN REFERENTES TÉCNICOS</t>
  </si>
  <si>
    <t>GESTIONAR PROCESOS PRPIOS DE LA CULTURA EMPRENDEDOREA Y EMPRESARIAL DE ACUERDO CON EL PERFIL PERSONAL Y LOS REQUERIMIENTOS DE LSO CONTEXTOS PRODUCTIVO Y SOCIAL</t>
  </si>
  <si>
    <t>ADMINISTRAR TECNOLOGÍAS DE INFORMACIÓN COMO APOYO AL SISTEMA INTEGRADO DE CONSERVACIÓN DE LOS DOCUMENTOS DE ARCHIVO DE ACUERDO CON LA NORMATIVIDAD VIGENTE Y LA TECNOLOGÍA DISPONIBLE</t>
  </si>
  <si>
    <t>ANALIZAR LOS RESULTADOS CONTABLES Y FINANCIEROS SEGÚN LOS CRITERIOS DE EVALUACIÓN ESTABLECIDOS POR LA ORGANIZACIÓN</t>
  </si>
  <si>
    <t>IMPLEMENTAR LAS ACCIONES DE PENETRACIÓN DEL PRODUCTO O SERVICIO EN EL MERCADO DE ACUERDO CON LA RENTABILIDAD Y ESTRATEGIAS DE MERCADEO.</t>
  </si>
  <si>
    <t>MANEJAR CONTACTOS COMERCIALES DE ACUERDO CON LA ACTIVIDAD DE MERCADEO.</t>
  </si>
  <si>
    <t>IMPLEMENTAR EL SISTEMA DE INFORMACIÓN DE MERCADOS DE ACUERDO CON LAS NECESIDADES DE INFORMACIÓN DE LAS SUBÁREAS Y LOS OBJETIVOS DE LA EMPRESA.</t>
  </si>
  <si>
    <t>IDENTIFICAR LOS COMPORTAMIENTOS DEL MERCADO SEGÚN RESULTADOS DE LA INVESTIGACIÓN Y TENDENCIAS DEL ENTORNO</t>
  </si>
  <si>
    <t>CLASIFICACIÓN Y JUZGAMIENTO (PROFUNDIZACION)</t>
  </si>
  <si>
    <t>GENERAR NOMINA DE SALARIOS Y COMPENSACIONES DE ACUERDO CON LA INFORMACIÓN REGISTRADA, LAS NORMAS VIGENTES Y LOS MEDIOS DISPUESTO POR LA ORGANIZACIÓN.</t>
  </si>
  <si>
    <t>DISEÑAR ESTRUCTURAS DE SALARIOS, APLICANDO LAS METODOLOGÍAS Y ESTRATEGIAS ESTABLECIDAS POR LA ORGANIZACIÓN.</t>
  </si>
  <si>
    <t>INTEGRAR LOS TRABAJADORES Y PROVEEDORES A LA ORGANIZACIÓN, DE ACUERDO CON EL DIRECCIONAMIENTO ESTRATÉGICO, PROCESOS Y PROCEDIMIENTOS Y ROLES DE TRABAJO.</t>
  </si>
  <si>
    <t>EJECUTAR LAS ACCIONES DE CAPACITACIÓN, DESARROLLO Y MANTENIMIENTO DE COMPETENCIAS INDIVIDUALES Y DE EQUIPOS DE TRABAJO, DE ACUERDO CON EL PLAN ESTABLECIDO.</t>
  </si>
  <si>
    <t>PROVEER INFORMACIÓN DEL TALENTO HUMANO DE ACUERDO CON LA NORMATIVIDAD Y LOS PROCEDIMIENTOS ESTABLECIDOS VIGENTES.</t>
  </si>
  <si>
    <t>CONTROLAR LA CALIDAD DE LA INFORMACIÓN DEL SISTEMA DE INFORMACIÓN DE GESTIÓN DEL TALENTO HUMANO DE ACUERDO CON LA NORMATIVIDAD Y PROCEDIMIENTOS VIGENTES.</t>
  </si>
  <si>
    <t>ESTRUCTURAR CARGOS Y COMPETENCIAS SEGÚN DIRECCIONAMIENTO ESTRATÉGICO Y NORMATIVIDAD VIGENTE.</t>
  </si>
  <si>
    <t>SELECCIONAR CANDIDATOS PARA DESEMPEÑAR LOS CARGOS Y ROLES DE TRABAJO, DE ACUERDO CON LOS PERFILES, POLÍTICAS, NORMAS LEGALES VIGENTES Y PROCEDIMIENTOS DE LA ORGANIZACIÓN.</t>
  </si>
  <si>
    <t>PRESELECCIONAR CANDIDATOS QUE CUMPLAN CON LAS POLÍTICAS Y REQUERIMIENTOS ESPECIFICADOS POR LA ORGANIZACIÓN, PARA VINCULARLOS A LA EMPRESA O A NUEVOS ROLES DE TRABAJO.</t>
  </si>
  <si>
    <t>VINCULAR A LAS PERSONAS SELECCIONADAS, DE ACUERDO CON LAS NORMAS LEGALES VIGENTES, POLÍTICAS Y PROCEDIMIENTOS ESTABLECIDOS POR LA ORGANIZACIÓN.</t>
  </si>
  <si>
    <t>COORDINAR EL PROCESO DE EVALUACIÓN DEL DESEMPEÑO DE LOS TRABAJADORES DE ACUERDO CON LOS PROCEDIMIENTOS DE LA ORGANIZACIÓN Y NORMATIVIDAD VIGENTE.</t>
  </si>
  <si>
    <t>GESTIONAR LOS PROGRAMAS DE BIENESTAR DE ACUERDO CON LAS NORMAS VIGENTES Y DIRECCIONAMIENTO ESTRATÉGICO DE LA ORGANIZACIÓN.</t>
  </si>
  <si>
    <t>DOCUMENTAR PROCESOS Y PROCEDIMIENTOS APLICANDO MÉTODOS NORMALIZADOS ADOPTADOS POR LA ORGANIZACIÓN.</t>
  </si>
  <si>
    <t>ELABORAR MANUAL DE FUNCIONES Y COMPETENCIAS DE ACUERDO CON METODOLOGÍAS ORGANIZACIONALES Y NORMATIVIDAD VIGENTE.</t>
  </si>
  <si>
    <t>ADMINISTRAR LA SALUD OCUPACIONAL DE ACUERDO CON LA NORMATIVIDAD TÉCNICA LEGAL VIGENTE Y LAS POLÍTICAS DE LA ORGANIZACIÓN.</t>
  </si>
  <si>
    <t>CONTROLAR LOS INVENTARIOS SEGÚN INDICADORES DE ROTACIÓN Y MÉTODOS DE MANEJO.</t>
  </si>
  <si>
    <t>ORGANIZAR EVENTOS QUE PROMUEVAN LAS RELACIONES EMPRESARIALES, TENIENDO EN CUENTA EL OBJETO SOCIAL DE LA EMPRESA.</t>
  </si>
  <si>
    <t>TEORíA DE LAS ORGANIZACIONES</t>
  </si>
  <si>
    <t>GENERAR PROPUESTAS DE MEJORAMIENTO DEL AMBIENTE ORGANIZACIONAL DE ACUERDO CON LA FUNCIÓN DE LA UNIDAD ADMINISTRATIVA.</t>
  </si>
  <si>
    <t>ADQUIRIR BIENES, INSUMOS Y SERVICIOS DE ACUERDO A LAS NECESIDADES DE OPERACIÓN DEL ESTABLECIMIENTO</t>
  </si>
  <si>
    <t>DIRIGIR EL PERSONAL A CARGO DE ACUERDO CON POLÍTICAS INTERNAS.</t>
  </si>
  <si>
    <t>ASISTIR AL DEPARTAMENTO DE RECURSOS HUMANOS EN LOS PROCESOS DE SELECCIÓN Y CAPACITACIÓN.</t>
  </si>
  <si>
    <t>ASEGURAR MÁRGENES DE COSTO Y UTILIDAD CUMPLIENDO CON LAS METAS FINANCIERAS.</t>
  </si>
  <si>
    <t>COSTEAR LA CADENA DE APROVISIONAMIENTO, DISTRIBUCIÓN Y TRANSPORTE DE ACUERDO CON LOS OBJETIVOS Y ESTRATEGIAS DEL PLAN LOGÍSTICO.</t>
  </si>
  <si>
    <t>DILIGENCIAR LOS DOCUMENTOS SEGÚN NORMAS Y PROCEDIMIENTOS ESTABLECIDOS A NIVEL INTERNO Y EXTERNO.</t>
  </si>
  <si>
    <t>EFECTUAR LAS TRANSACCIONES COMERCIALES DE ACUERDO A LAS REQUISICIONES COMERCIALES SEGÚN ACUERDOS ENTRE LAS PARTES.</t>
  </si>
  <si>
    <t>COORDINAR PROYECTOS DE ACUERDO CON LOS PLANES Y PROGRAMAS ESTABLECIDOS POR LA EMPRESA</t>
  </si>
  <si>
    <t>FORMULAR EL PLAN ESTRATÉGICOS DE LOGÍSTICA, DE ACUERDO CON LOS OBJETIVOS CORPORATIVOS DE LA EMPRESA Y REQUERIMIENTOS DEL MERCADO.</t>
  </si>
  <si>
    <t>MONITOREAR EL DESARROLLO DE LOS PROCESOS, SEGÚN EL SISTEMA Y POLÍTICAS DE LA ORGANIZACIÓN</t>
  </si>
  <si>
    <t>ESTABLECER EL SEGUIMIENTO Y RASTREO DE LOS PRODUCTOS SEGÚN LA CADENA DE SUMINISTRO Y NORMAS NACIONALES E INTERNACIONALES</t>
  </si>
  <si>
    <t xml:space="preserve">EVALUAR LA VIABILIDAD DEL NEGOCIO FIDUCIARIO, DE ACUERDO </t>
  </si>
  <si>
    <t>SUSCRIBIR EL CONTRATO DE ACUERDO CON LOS PROCEDIMIENTOS ESTABLECIDOS Y LAS CONDICIONES DEL FIDEICOMITENTE.</t>
  </si>
  <si>
    <t>ADMINISTRAR BIENES, RECURSOS Y REALIZAR GESTIONES DE ACUERDO CON LAS NORMAS LEGALES Y/O INSTITUCIONALES Y LO ESTABLECIDO CONTRACTUALMENTE CON LOS CLIENTES.</t>
  </si>
  <si>
    <t>DOCUMENTAR PROCESOS DE ACUERDO CON NORMATIVA Y PROCEDIMIENTOS TÉCNICOS</t>
  </si>
  <si>
    <t xml:space="preserve">	RAZONAR CUANTITATIVAMENTE FRENTE A SITUACIONES SUSCEPTIBLES DE SER ABORDADAS DE MANERA MATEMÁTICA EN CONTEXTOS LABORALES, SOCIALES Y PERSONALES.</t>
  </si>
  <si>
    <t>REGISTRAR INFORMACIÓN DE ACUERDO CON NORMATIVA Y PROCEDIMIENTO TÉCNICO</t>
  </si>
  <si>
    <t>SELECCIONAR CANDIDATOS DE ACUERDO CON PROCEDIMIENTO TÉCNICO Y NORMATIVA</t>
  </si>
  <si>
    <t>EJERCER DERECHOS FUNDAMENTALES DEL TRABAJO EN EL MARCO DE LA CONSTITUCIÓN POLÍTICA Y LOS CONVENIOS INTERNACIONALES.</t>
  </si>
  <si>
    <t>RECONOCER RECURSOS FINANCIEROS DE ACUERDO CON METODOLOGÍA Y NORMATIVA</t>
  </si>
  <si>
    <t>ELABORAR DOCUMENTOS DE ACUERDO CON NORMAS TÉCNICAS</t>
  </si>
  <si>
    <t>Comunicación Oral Y Escrita</t>
  </si>
  <si>
    <t>Etiquetas de fila</t>
  </si>
  <si>
    <t>Suma de CRÉDITOS</t>
  </si>
  <si>
    <t>Inglés I</t>
  </si>
  <si>
    <t>Matemáticas I (Calculo Diferencial)</t>
  </si>
  <si>
    <t>Fundamentos Ambientales</t>
  </si>
  <si>
    <t>Bases Químicas Del Ambiente</t>
  </si>
  <si>
    <t>Pensamiento Administrativo</t>
  </si>
  <si>
    <t>Filosofía Institucional</t>
  </si>
  <si>
    <t>Inglés II</t>
  </si>
  <si>
    <t>Cartografía Básica Y Digital</t>
  </si>
  <si>
    <t>Matemáticas Ii (Calculo Integral)</t>
  </si>
  <si>
    <t>Proceso Administrativo</t>
  </si>
  <si>
    <t>Contabilidad Y Finanzas</t>
  </si>
  <si>
    <t>Total general</t>
  </si>
  <si>
    <t>Opcional Complementaria</t>
  </si>
  <si>
    <t>Legislación Ambiental</t>
  </si>
  <si>
    <t>Antropología</t>
  </si>
  <si>
    <t>Inglés Iii</t>
  </si>
  <si>
    <t>Microeconomía</t>
  </si>
  <si>
    <t>Salud Ambiental Y Participación Comunitaria</t>
  </si>
  <si>
    <t>Estadística I (Descriptiva)</t>
  </si>
  <si>
    <t>Fundamentos De Ecología (Aarn)</t>
  </si>
  <si>
    <t>Introducción A Cuencas Hidrográficas</t>
  </si>
  <si>
    <t>Costos Y Presupuestos</t>
  </si>
  <si>
    <t>Sistemas De Información Geográfica</t>
  </si>
  <si>
    <t>Epistemología</t>
  </si>
  <si>
    <t>Inglés Iv</t>
  </si>
  <si>
    <t>Macroeconomía</t>
  </si>
  <si>
    <t>Recursos Bióticos</t>
  </si>
  <si>
    <t>Creatividad Y Emprendimiento</t>
  </si>
  <si>
    <t>Trabajo De Campo I</t>
  </si>
  <si>
    <t>Políticas Y Marco Jurídico Global Para El Desarrollo</t>
  </si>
  <si>
    <t>Taller Comunitario Ambiental</t>
  </si>
  <si>
    <t>Cultura Teológica</t>
  </si>
  <si>
    <t>Desarrollo Sostenible</t>
  </si>
  <si>
    <t>Recursos Abiótico I</t>
  </si>
  <si>
    <t>Recursos Abiótico Ii</t>
  </si>
  <si>
    <t>Estrategia Y Prospectiva Ambiental</t>
  </si>
  <si>
    <t>Cambio Climático</t>
  </si>
  <si>
    <t>Profundización I Manejo De Áreas Naturales (16972)</t>
  </si>
  <si>
    <t>Inglés V</t>
  </si>
  <si>
    <t>Filosofía Política</t>
  </si>
  <si>
    <t>Evaluación De Impacto Ambiental</t>
  </si>
  <si>
    <t>Responsabilidad Social Para El Desarrollo Sostenible</t>
  </si>
  <si>
    <t>Sistemas Integrados De Gestión</t>
  </si>
  <si>
    <t>Trabajo De Campo Ii</t>
  </si>
  <si>
    <t>Economía Ambiental Y Recursos Naturales</t>
  </si>
  <si>
    <t>Profundización Ii Tecnologías Limpias (16392)</t>
  </si>
  <si>
    <t>Inglés Vi</t>
  </si>
  <si>
    <t>Ética</t>
  </si>
  <si>
    <t>Catedra Opcional</t>
  </si>
  <si>
    <t>Gestión De Proyectos Ambientales</t>
  </si>
  <si>
    <t>Gestión Del Riesgo</t>
  </si>
  <si>
    <t>Renewable Energy</t>
  </si>
  <si>
    <t>Profundización Iii Planes De Ordenamiento Territorial Y Prospectiva (48201)</t>
  </si>
  <si>
    <t>Profundización Iv-Conservación Y Restauración Ecológica (48202)</t>
  </si>
  <si>
    <t>Profundización V Manejo Integrado Del Medio Ambiente (73337)</t>
  </si>
  <si>
    <t>Opciones De Grado</t>
  </si>
  <si>
    <t>Introducción A La Construcción</t>
  </si>
  <si>
    <t>Representación Gráfica</t>
  </si>
  <si>
    <t>Matemáticas Fundamentales</t>
  </si>
  <si>
    <t>Física Mecánica</t>
  </si>
  <si>
    <t>Cátedra Opcional Institucional</t>
  </si>
  <si>
    <t>Estática</t>
  </si>
  <si>
    <t>Cálculo Diferencial</t>
  </si>
  <si>
    <t>Química General</t>
  </si>
  <si>
    <t>Inglés Ii</t>
  </si>
  <si>
    <t>Topografía Y Cartografía</t>
  </si>
  <si>
    <t>Álgebra Lineal</t>
  </si>
  <si>
    <t>Cálculo Integral</t>
  </si>
  <si>
    <t>Física Electricidad Y Magnetismo</t>
  </si>
  <si>
    <t>Práctica Integrada I</t>
  </si>
  <si>
    <t>Mecánica De Materiales</t>
  </si>
  <si>
    <t>Lógica De Programación</t>
  </si>
  <si>
    <t>Cálculo Vectorial</t>
  </si>
  <si>
    <t>Procesos Constructivos</t>
  </si>
  <si>
    <t>Materiales De Construcción</t>
  </si>
  <si>
    <t>Mecánica De Suelos</t>
  </si>
  <si>
    <t>Ecuaciones Diferenciales</t>
  </si>
  <si>
    <t>Probabilidad Y Estadística</t>
  </si>
  <si>
    <t>Presupuestos Y Programación De Obras</t>
  </si>
  <si>
    <t>Construcción Y Conservación De Vías</t>
  </si>
  <si>
    <t>Construcción De Obras En Concreto</t>
  </si>
  <si>
    <t>Análisis Estructural</t>
  </si>
  <si>
    <t>Proyecto Opcional Investigativo</t>
  </si>
  <si>
    <t>Dirección Y Control De Obra</t>
  </si>
  <si>
    <t>Construcción De Sistemas Industrializados</t>
  </si>
  <si>
    <t>Construcción De Obras Viales Complementarias</t>
  </si>
  <si>
    <t>Construcción De Fundaciones</t>
  </si>
  <si>
    <t>Mercadeo Inmobiliario</t>
  </si>
  <si>
    <t>Práctica Integrada Ii</t>
  </si>
  <si>
    <t>Construcción De Instalaciones</t>
  </si>
  <si>
    <t>Construcción De Acueducto Y Alcantarillado</t>
  </si>
  <si>
    <t>Construcción De Elementos No Estructurales</t>
  </si>
  <si>
    <t>Cátedra Opcional Complementaria</t>
  </si>
  <si>
    <t>Formulación Y Evaluación De Proyectos</t>
  </si>
  <si>
    <t>Environmental Management And Sustainable Development</t>
  </si>
  <si>
    <t>Profundización I</t>
  </si>
  <si>
    <t>Profundización Ii</t>
  </si>
  <si>
    <t>Opción De Grado</t>
  </si>
  <si>
    <t>Práctica Integrada Iii</t>
  </si>
  <si>
    <t>Profundización Iii</t>
  </si>
  <si>
    <t>Profundización Iv</t>
  </si>
  <si>
    <t>Metodología De La Educación A Distancia</t>
  </si>
  <si>
    <t>Fundamentos De Matemáticas</t>
  </si>
  <si>
    <t>Introducción A La Ingeniería</t>
  </si>
  <si>
    <t>Teoría General De Sistemas</t>
  </si>
  <si>
    <t>Lógica Matemática</t>
  </si>
  <si>
    <t>Circuitos Básicos</t>
  </si>
  <si>
    <t>Calculo Diferencial</t>
  </si>
  <si>
    <t>Algebra Lineal</t>
  </si>
  <si>
    <t>Algoritmos De Programación</t>
  </si>
  <si>
    <t>Calculo Integral</t>
  </si>
  <si>
    <t>Estructuras De Datos</t>
  </si>
  <si>
    <t>Sistemas Operativos</t>
  </si>
  <si>
    <t>ELECTIVA PROFESIONAL I</t>
  </si>
  <si>
    <t>Electiva Profesional I</t>
  </si>
  <si>
    <t>Calculo Vectorial</t>
  </si>
  <si>
    <t>Electricidad Y Magnetismo</t>
  </si>
  <si>
    <t>Programación Básica</t>
  </si>
  <si>
    <t>Metodología De La Investigación</t>
  </si>
  <si>
    <t>ELECTIVA PROFESIONAL II</t>
  </si>
  <si>
    <t>Electiva Profesional Ii</t>
  </si>
  <si>
    <t>Teoría De Grafos</t>
  </si>
  <si>
    <t>Análisis Y Diseño De Sistemas</t>
  </si>
  <si>
    <t>Estructura De Redes</t>
  </si>
  <si>
    <t>Electiva Profesional Iii</t>
  </si>
  <si>
    <t>Ingeniería De Software</t>
  </si>
  <si>
    <t>Trabajo Comunitario I</t>
  </si>
  <si>
    <t>Estadística Aplicada</t>
  </si>
  <si>
    <t>ELECTIVA PROFESIONAL IV</t>
  </si>
  <si>
    <t>Electiva Profesional Iv</t>
  </si>
  <si>
    <t>Métodos Y Técnicas De Investigación</t>
  </si>
  <si>
    <t>Soluciones Telemáticas Empresariales</t>
  </si>
  <si>
    <t>Diseño De Bases De Datos</t>
  </si>
  <si>
    <t>ELECTIVA PROFESIONAL V</t>
  </si>
  <si>
    <t>Electiva Profesional V</t>
  </si>
  <si>
    <t>ELECTIVA DE ÉNFASIS I</t>
  </si>
  <si>
    <t>Electiva De Énfasis I</t>
  </si>
  <si>
    <t>Trabajo Comunitario Ii</t>
  </si>
  <si>
    <t>Investigación De Operaciones</t>
  </si>
  <si>
    <t>Programación Avanzada</t>
  </si>
  <si>
    <t>ELECTIVA DE ÉNFASIS II</t>
  </si>
  <si>
    <t>Electiva De Énfasis Ii</t>
  </si>
  <si>
    <t>Análisis Numérico</t>
  </si>
  <si>
    <t>Administración De Bases De Datos</t>
  </si>
  <si>
    <t>Proyecto Informático I</t>
  </si>
  <si>
    <t>Teoría De La Decisión</t>
  </si>
  <si>
    <t>ELECTIVA DE ÉNFASIS III</t>
  </si>
  <si>
    <t>Electiva De Énfasis Iii</t>
  </si>
  <si>
    <t>Proyecto Informático Ii</t>
  </si>
  <si>
    <t>Desarrollo De Software</t>
  </si>
  <si>
    <t>Auditoria De Sistemas</t>
  </si>
  <si>
    <t>Metodología Educación A Distancia</t>
  </si>
  <si>
    <t>Fundamentos De Administración</t>
  </si>
  <si>
    <t>Matemáticas Básicas</t>
  </si>
  <si>
    <t>Introducción Al Supply Chain</t>
  </si>
  <si>
    <t>Procesos Logísticos De Aprovisionamiento</t>
  </si>
  <si>
    <t>Fundamentos De Contabilidad</t>
  </si>
  <si>
    <t>Gestión De Centros Logísticos</t>
  </si>
  <si>
    <t>Estadística I</t>
  </si>
  <si>
    <t>Fundamentos De Mercadeo</t>
  </si>
  <si>
    <t>Logística De Servicios</t>
  </si>
  <si>
    <t>Investigación De Operaciones I</t>
  </si>
  <si>
    <t>Estadística Ii</t>
  </si>
  <si>
    <t>Proyecto I</t>
  </si>
  <si>
    <t>Investigación De Operaciones Ii</t>
  </si>
  <si>
    <t>Gestión Logística De Inventarios</t>
  </si>
  <si>
    <t>Análisis Financiero</t>
  </si>
  <si>
    <t>Profundización</t>
  </si>
  <si>
    <t>Planeación De Ventas Y Operaciones</t>
  </si>
  <si>
    <t>Gestión De Medios Y Modos Transporte</t>
  </si>
  <si>
    <t>Simulación De Operaciones</t>
  </si>
  <si>
    <t>Planeación Y Control De La Producción</t>
  </si>
  <si>
    <t>Opcional Institucional</t>
  </si>
  <si>
    <t>Aspectos Jurídicos Logísticos</t>
  </si>
  <si>
    <t>Gerencia De Redes Logísticas</t>
  </si>
  <si>
    <t>Procesos Logísticos De Retorno</t>
  </si>
  <si>
    <t>International Business</t>
  </si>
  <si>
    <t>Dirección De Operaciones</t>
  </si>
  <si>
    <t>Proyecto Ii</t>
  </si>
  <si>
    <t>Matemática Básica</t>
  </si>
  <si>
    <t>Biología General</t>
  </si>
  <si>
    <t>Química</t>
  </si>
  <si>
    <t>Introducción A La Zootecnia</t>
  </si>
  <si>
    <t>Matemáticas 2</t>
  </si>
  <si>
    <t>Bioquímica</t>
  </si>
  <si>
    <t>Agroecología</t>
  </si>
  <si>
    <t>Suelos Y Fertilizantes</t>
  </si>
  <si>
    <t>Anatomía Animal</t>
  </si>
  <si>
    <t>Genética</t>
  </si>
  <si>
    <t>Pastos Y Forrajes</t>
  </si>
  <si>
    <t>Nutrición Animal I</t>
  </si>
  <si>
    <t>Fisiología Animal I</t>
  </si>
  <si>
    <t>Bioestadística</t>
  </si>
  <si>
    <t>Electiva I</t>
  </si>
  <si>
    <t>Microbiología</t>
  </si>
  <si>
    <t>Extensión Y Desarrollo Rural</t>
  </si>
  <si>
    <t>Nutrición Animal Ii</t>
  </si>
  <si>
    <t>Fisiología De La Producción</t>
  </si>
  <si>
    <t>Diseño Experimental</t>
  </si>
  <si>
    <t>Electiva Ii</t>
  </si>
  <si>
    <t>Agroclimatología</t>
  </si>
  <si>
    <t>Experiencia Zootécnica</t>
  </si>
  <si>
    <t>Alimentación Animal</t>
  </si>
  <si>
    <t>Salud En La Producción Animal</t>
  </si>
  <si>
    <t>Enfoque Sistémico De La Producción Pecuaria</t>
  </si>
  <si>
    <t>Trabajo Comunitario</t>
  </si>
  <si>
    <t>Mejoramiento Animal</t>
  </si>
  <si>
    <t>Reproducción Animal I</t>
  </si>
  <si>
    <t>Sistemas De Gestión De Calidad</t>
  </si>
  <si>
    <t>Administración Agropecuaria</t>
  </si>
  <si>
    <t>Mercadeo Agropecuario</t>
  </si>
  <si>
    <t>Reproducción Animal Ii</t>
  </si>
  <si>
    <t>Sistema Producción Bovinos De Leche</t>
  </si>
  <si>
    <t>Sistema Producción Bovinos De Carne</t>
  </si>
  <si>
    <t>Economía Agraria</t>
  </si>
  <si>
    <t>Electiva Iii</t>
  </si>
  <si>
    <t>SISTEMA PRODUCCIÓN PEQUEÑOS RUMIANTES</t>
  </si>
  <si>
    <t>Sistema Producción Pequeños Rumiantes</t>
  </si>
  <si>
    <t>Sistema Producción Aves</t>
  </si>
  <si>
    <t>Plan Y Evaluación De Proyectos Agropecuarios</t>
  </si>
  <si>
    <t>Metodología De La Investigación En Las Ciencias Pecuarias</t>
  </si>
  <si>
    <t>Electiva Iv</t>
  </si>
  <si>
    <t>Catedra Opcional Tecnología Y Bioética</t>
  </si>
  <si>
    <t>Bioética</t>
  </si>
  <si>
    <t>Herramientas Tecnológicas Para La Producción Pecuaria</t>
  </si>
  <si>
    <t>Etología Y Bienestar Animal</t>
  </si>
  <si>
    <t>Sistema Producción Porcinos</t>
  </si>
  <si>
    <t>Legislación Y Política Agraria</t>
  </si>
  <si>
    <t>Tecnología De Cárnicos</t>
  </si>
  <si>
    <t>Tecnología De Lácteos</t>
  </si>
  <si>
    <t>Opción De Grado: Practica Profesional- Curso De Actualización - Profundización - Semestre De Posgrado</t>
  </si>
  <si>
    <t>Electiva V</t>
  </si>
  <si>
    <t>Profundización V</t>
  </si>
  <si>
    <t>Profundización Vi</t>
  </si>
  <si>
    <t>Matemática I</t>
  </si>
  <si>
    <t>Fundamentos De Economía</t>
  </si>
  <si>
    <t>Contabilidad Para Las Organizaciones</t>
  </si>
  <si>
    <t>Matemáticas Ii</t>
  </si>
  <si>
    <t>Teoría De Las Organizaciones</t>
  </si>
  <si>
    <t>Responsabilidad Social Organizacional</t>
  </si>
  <si>
    <t>Negocios Inclusivos Y Valor Compartido</t>
  </si>
  <si>
    <t>Creatividad E Innovación Organizacional</t>
  </si>
  <si>
    <t>Derecho Constitucional Y Administrativo</t>
  </si>
  <si>
    <t>Gestión Del Conocimiento Y Aprendizaje Organizacional</t>
  </si>
  <si>
    <t>FUNDAMENTO DE MERCADEO</t>
  </si>
  <si>
    <t>Fundamento De Mercadeo</t>
  </si>
  <si>
    <t>Estrategia</t>
  </si>
  <si>
    <t>Ingeniería Económica</t>
  </si>
  <si>
    <t>Derecho Comercial Y Tributario</t>
  </si>
  <si>
    <t>Investigación De Mercados</t>
  </si>
  <si>
    <t>Práctica De Responsabilidad Social Universitaria</t>
  </si>
  <si>
    <t>Sistemas De Información Gerencial (Virtual)</t>
  </si>
  <si>
    <t>Creación De Empresas</t>
  </si>
  <si>
    <t>Habilidades Gerenciales</t>
  </si>
  <si>
    <t>Evaluación Integral De Proyectos</t>
  </si>
  <si>
    <t>Negociación Internacional</t>
  </si>
  <si>
    <t>Administración De La Producción</t>
  </si>
  <si>
    <t>Derecho Laboral Y Seguridad En El Trabajo</t>
  </si>
  <si>
    <t>Gerencia Del Talento Humano</t>
  </si>
  <si>
    <t>Práctica Profesional</t>
  </si>
  <si>
    <t>Dibujo Técnico Y Descriptiva</t>
  </si>
  <si>
    <t>Inglés 1</t>
  </si>
  <si>
    <t>Topografía Y Fotogrametría</t>
  </si>
  <si>
    <t>Inglés 2</t>
  </si>
  <si>
    <t>Física De Materiales</t>
  </si>
  <si>
    <t>Taller Estudio De Investigación</t>
  </si>
  <si>
    <t>Inglés 3</t>
  </si>
  <si>
    <t>Física Eléctrica</t>
  </si>
  <si>
    <t xml:space="preserve">Ecuaciones Diferenciales
</t>
  </si>
  <si>
    <t xml:space="preserve">Mecánica De Materiales
</t>
  </si>
  <si>
    <t>Geología</t>
  </si>
  <si>
    <t>Inglés 4</t>
  </si>
  <si>
    <t xml:space="preserve">Operacional Y Numéricos
</t>
  </si>
  <si>
    <t xml:space="preserve">Mecánica De Fluidos
</t>
  </si>
  <si>
    <t xml:space="preserve">Vías
Vías
</t>
  </si>
  <si>
    <t>Inglés 5</t>
  </si>
  <si>
    <t>Concreto Reforzado
Tuberías Y Canales</t>
  </si>
  <si>
    <t>Tuberías Y Canales</t>
  </si>
  <si>
    <t>Hidrología</t>
  </si>
  <si>
    <t>Geomática</t>
  </si>
  <si>
    <t>Liderazgo Y Comunicación</t>
  </si>
  <si>
    <t xml:space="preserve">Concreto Presforzado
Concreto Presforzado
</t>
  </si>
  <si>
    <t xml:space="preserve">Acueductos Y Alcantarillados
</t>
  </si>
  <si>
    <t xml:space="preserve">Fundaciones
</t>
  </si>
  <si>
    <t>Maquinaria Y Equipo</t>
  </si>
  <si>
    <t>Economía Y Contabilidad</t>
  </si>
  <si>
    <t xml:space="preserve">Filosofía Política
</t>
  </si>
  <si>
    <t xml:space="preserve">Tratamiento De Aguas
</t>
  </si>
  <si>
    <t xml:space="preserve">Gestión Ambiental
</t>
  </si>
  <si>
    <t xml:space="preserve">Pavimentos
</t>
  </si>
  <si>
    <t xml:space="preserve">CONSTRUCCIÓN Y COSTOS
</t>
  </si>
  <si>
    <t xml:space="preserve">Construcción Y Costos
</t>
  </si>
  <si>
    <t xml:space="preserve">FORMULACIÓN Y EVALUACIÓN DE PROYECTOS
</t>
  </si>
  <si>
    <t xml:space="preserve">Formulación Y Evaluación De Proyectos
</t>
  </si>
  <si>
    <t>Seminario Y Opción De Grado 1</t>
  </si>
  <si>
    <t xml:space="preserve">COMPONENTE DE ÉNFASIS 1
</t>
  </si>
  <si>
    <t xml:space="preserve">Componente De Énfasis 1
</t>
  </si>
  <si>
    <t xml:space="preserve">COMPONENTE DE ÉNFASIS 2
</t>
  </si>
  <si>
    <t xml:space="preserve">Componente De Énfasis 2
</t>
  </si>
  <si>
    <t>Componente De Énfasis 3</t>
  </si>
  <si>
    <t xml:space="preserve">SEMINARIO Y OPCIÓN DE GRADO 2
</t>
  </si>
  <si>
    <t xml:space="preserve">Seminario Y Opción De Grado 2
</t>
  </si>
  <si>
    <t xml:space="preserve">EPISTEMOLOGÍA
</t>
  </si>
  <si>
    <t xml:space="preserve">Epistemología
</t>
  </si>
  <si>
    <t xml:space="preserve">ELECTIVA DE UNIVERSIDAD 1
</t>
  </si>
  <si>
    <t xml:space="preserve">Electiva De Universidad 1
</t>
  </si>
  <si>
    <t xml:space="preserve">COMPONENTE DE ÉNFASIS 4
</t>
  </si>
  <si>
    <t xml:space="preserve">Componente De Énfasis 4
</t>
  </si>
  <si>
    <t xml:space="preserve">CÁTEDRAS OPCIONALES
</t>
  </si>
  <si>
    <t xml:space="preserve">Cátedras Opcionales
</t>
  </si>
  <si>
    <t xml:space="preserve">COMPONENTE DE ÉNFASIS 5 
</t>
  </si>
  <si>
    <t xml:space="preserve">Componente De Énfasis 5 
</t>
  </si>
  <si>
    <t>Modelos Pedagógicos (Práctica De Observación I)</t>
  </si>
  <si>
    <t>Historia Y Concepciones De Infancia</t>
  </si>
  <si>
    <t>Seminario De Filosofía Institucional</t>
  </si>
  <si>
    <t>Ambientes Virtuales De Aprendizaje (Práctica Formativa I)</t>
  </si>
  <si>
    <t>Procesos Del Aprendizaje (Práctica De Observación Ii)</t>
  </si>
  <si>
    <t>Exploración Del Entorno Biológico</t>
  </si>
  <si>
    <t>Ambientes Virtuales De Aprendizaje (Práctica Formativa Ii)</t>
  </si>
  <si>
    <t>Pensamiento Lógico</t>
  </si>
  <si>
    <t>Currículo Y Didáctica (Práctica Formativa Iii)</t>
  </si>
  <si>
    <t>Exploración Del Entorno Cognitivo</t>
  </si>
  <si>
    <t>Fundamentos Y Enfoques De La Investigación</t>
  </si>
  <si>
    <t>Evaluación En El Contexto Escolar (Práctica Formativa Iv)</t>
  </si>
  <si>
    <t>Exploración De Las Habilidades Básicas Para El Aprendizaje</t>
  </si>
  <si>
    <t>Investigación En Educación Y Pedagogía</t>
  </si>
  <si>
    <t>Filosofía Política (Cultura De Paz)</t>
  </si>
  <si>
    <t>Política Educativa, Gestión Y Administración (Práctica Formativa V)</t>
  </si>
  <si>
    <t>Lúdica Y Vivencia Corporal</t>
  </si>
  <si>
    <t>Realidades Y Contextos De La Infancia</t>
  </si>
  <si>
    <t>Seminario Investigativo</t>
  </si>
  <si>
    <t>Currículo Y Aprendizaje En La Educación Infantil (Práctica Formativa Vi)</t>
  </si>
  <si>
    <t>Habilidades Comunicativas En La Infancia I</t>
  </si>
  <si>
    <t>Cátedra Opcional</t>
  </si>
  <si>
    <t>Didáctica Específica (Práctica - Proyecto De Aula, Trabajo Pedagógico De 0 A 3 Años)</t>
  </si>
  <si>
    <t>Lúdica Y Vivencia Musical</t>
  </si>
  <si>
    <t>Fundamentación En Investigación I (Anteproyecto)</t>
  </si>
  <si>
    <t>Habilidades Comunicativas En La Infancia Ii</t>
  </si>
  <si>
    <t>Práctica Pedagógica (Medios Y Mediaciones En La Educación Infantil)</t>
  </si>
  <si>
    <t>Lúdica Y Expresión Creativa</t>
  </si>
  <si>
    <t>Exploración De Las Habilidades Matemáticas</t>
  </si>
  <si>
    <t>Literatura Y Tradicional Oral En La Infancia</t>
  </si>
  <si>
    <t>Práctica Pedagógica De Aula (Trabajo Pedagógico De 3 A 7 Años)</t>
  </si>
  <si>
    <t>Centros Infantiles Y Contextos Escolares</t>
  </si>
  <si>
    <t>Fundamentación En Investigación Ii (Proyecto)</t>
  </si>
  <si>
    <t>Práctica Pedagógica Comunitaria (Infancia, Ambiente Y Comunidad)</t>
  </si>
  <si>
    <t>Exploración Del Entorno Afectivo Y Social</t>
  </si>
  <si>
    <t>Seminario Interdisciplinario</t>
  </si>
  <si>
    <t>Cn Lecto-E</t>
  </si>
  <si>
    <t>Fundamentos De La Biología Humana Aplicada A La Cultura Física</t>
  </si>
  <si>
    <t>Aprendizaje Y Desarrollo Motor</t>
  </si>
  <si>
    <t>Introducción A La Cultura Física</t>
  </si>
  <si>
    <t>Producción De Texto</t>
  </si>
  <si>
    <t>Introducción A La Administración De La C.F.D.R.</t>
  </si>
  <si>
    <t>Pedagogía De La Cultura Física</t>
  </si>
  <si>
    <t>Expresión Corporal Y Artística</t>
  </si>
  <si>
    <t>Humanidades I</t>
  </si>
  <si>
    <t>Cátedra Formación Física Integral, Henri Didon</t>
  </si>
  <si>
    <t>Praxiología Motriz</t>
  </si>
  <si>
    <t>Didáctica De La Actividad Física</t>
  </si>
  <si>
    <t>Eventos Y Escenarios</t>
  </si>
  <si>
    <t>Sociología Del Deporte</t>
  </si>
  <si>
    <t>Psicomotricidad</t>
  </si>
  <si>
    <t>Marco Legal De La C.F.D.R. En Colombia</t>
  </si>
  <si>
    <t>Morfofisiología</t>
  </si>
  <si>
    <t>Humanidades Ii</t>
  </si>
  <si>
    <t>Fisiología Del Ejercicio</t>
  </si>
  <si>
    <t>Biomecánica</t>
  </si>
  <si>
    <t>Nutrición Para La Actividad Física Y El Deporte</t>
  </si>
  <si>
    <t>Pedagogía Del Juego</t>
  </si>
  <si>
    <t>Iniciación Y Formación Deportiva</t>
  </si>
  <si>
    <t>Habilidades Investigativas</t>
  </si>
  <si>
    <t>Diseño Y Gestión De Proyectos De La C.F.D.R.</t>
  </si>
  <si>
    <t>Humanidades Iii</t>
  </si>
  <si>
    <t>Enfermedades Crónicas No Transmisibles - Patokinesis</t>
  </si>
  <si>
    <t>Deportes De Arte Y Precisión</t>
  </si>
  <si>
    <t>Metodologías Para La Enseñanza De La Recreación</t>
  </si>
  <si>
    <t>Marketing Deportivo</t>
  </si>
  <si>
    <t>Entrenamiento Y Rendimiento Deportivo</t>
  </si>
  <si>
    <t>Evaluación Funcional</t>
  </si>
  <si>
    <t>Humanidades Iv</t>
  </si>
  <si>
    <t>Programación Del Ejercicio Para La Salud</t>
  </si>
  <si>
    <t>Deportes De Combate</t>
  </si>
  <si>
    <t>Deportes De Conjunto</t>
  </si>
  <si>
    <t>Marco Conceptual, Historia Y Tendencias De La Recreación</t>
  </si>
  <si>
    <t>Estadística Aplicada A La Investigación</t>
  </si>
  <si>
    <t>Promoción Y Prevención De La Salud</t>
  </si>
  <si>
    <t>Campamento Y Educación Para La Vida</t>
  </si>
  <si>
    <t>Entrenamiento Personalizado Y Grupal</t>
  </si>
  <si>
    <t>Deportes De Tiempo Y Marca</t>
  </si>
  <si>
    <t>Diseño De Instrumentos Y Propuestas Recreativas</t>
  </si>
  <si>
    <t>Psicología Deportiva</t>
  </si>
  <si>
    <t>Deportes Alternativos</t>
  </si>
  <si>
    <t>Educación Experiencial</t>
  </si>
  <si>
    <t>Administración De Los Organismos Deportivos</t>
  </si>
  <si>
    <t>Tecnología Aplicada A La Cfdr</t>
  </si>
  <si>
    <t>Profundización 1</t>
  </si>
  <si>
    <t>Profundización 2</t>
  </si>
  <si>
    <t>Humanidades V</t>
  </si>
  <si>
    <t>Proyecto De Investigación</t>
  </si>
  <si>
    <t>Profundización 3</t>
  </si>
  <si>
    <t>Profundización 4</t>
  </si>
  <si>
    <t>Practicas Profesionales</t>
  </si>
  <si>
    <t>Biología</t>
  </si>
  <si>
    <t>Cátedra Formación Física Integral - Henri Didon</t>
  </si>
  <si>
    <t>Introducción A La Ingeniería Ambiental</t>
  </si>
  <si>
    <t>Ecología</t>
  </si>
  <si>
    <t>Lengua Extranjera I</t>
  </si>
  <si>
    <t>Química Inorgánica</t>
  </si>
  <si>
    <t>Investigación En Ingeniería</t>
  </si>
  <si>
    <t>Química Orgánica</t>
  </si>
  <si>
    <t>Física De Ondas, Fluidos Y Calor</t>
  </si>
  <si>
    <t>Lengua Extranjera Ii</t>
  </si>
  <si>
    <t>Mecánica De Fluidos</t>
  </si>
  <si>
    <t>Técnicas De Campo</t>
  </si>
  <si>
    <t>Balance De Materia Y Energía</t>
  </si>
  <si>
    <t>Lengua Extranjera Iii</t>
  </si>
  <si>
    <t>Geología Y Edafología</t>
  </si>
  <si>
    <t>Microbiología Ambiental</t>
  </si>
  <si>
    <t>Recursos Hidráulicos</t>
  </si>
  <si>
    <t>Climatología</t>
  </si>
  <si>
    <t>Lengua Extranjera Iv</t>
  </si>
  <si>
    <t>Fundamentos De Economía Y Administración</t>
  </si>
  <si>
    <t>Calidad Del Aire</t>
  </si>
  <si>
    <t>Economía Ambiental</t>
  </si>
  <si>
    <t>Gestión De Residuos Sólidos</t>
  </si>
  <si>
    <t>Potabilización De Agua</t>
  </si>
  <si>
    <t>Lengua Extranjera V</t>
  </si>
  <si>
    <t>Gestión Ambiental De Procesos</t>
  </si>
  <si>
    <t>Modelación Y Simulación Ambiental</t>
  </si>
  <si>
    <t>Electiva Profundización I</t>
  </si>
  <si>
    <t>Tratamiento De Aguas Residuales</t>
  </si>
  <si>
    <t>Producción Más Limpia</t>
  </si>
  <si>
    <t>Electiva Profundización Ii</t>
  </si>
  <si>
    <t>Seminario De Grado</t>
  </si>
  <si>
    <t>Sistemas De Gestión Ambiental</t>
  </si>
  <si>
    <t>Impacto Ambiental</t>
  </si>
  <si>
    <t>Electiva Profundización Iii</t>
  </si>
  <si>
    <t>Seminario De Actualización</t>
  </si>
  <si>
    <r>
      <rPr>
        <b/>
        <sz val="11"/>
        <color theme="1"/>
        <rFont val="Tahoma"/>
        <family val="2"/>
      </rPr>
      <t xml:space="preserve">NOTA: </t>
    </r>
    <r>
      <rPr>
        <sz val="11"/>
        <color theme="1"/>
        <rFont val="Tahoma"/>
        <family val="2"/>
      </rPr>
      <t>El estudiante, con su firma en la presente acta acepta la homologación o reconocimiento de créditos y reconoce que no podrá adelantar procesos posteriores de este tipo.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</si>
</sst>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ahoma"/>
      <family val="2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sz val="11"/>
      <color theme="1"/>
      <name val="Tahoma"/>
      <family val="2"/>
    </font>
    <font>
      <b/>
      <sz val="11"/>
      <color rgb="FFFFFFFF"/>
      <name val="Aptos Narrow"/>
      <family val="2"/>
    </font>
    <font>
      <sz val="11"/>
      <name val="Tahoma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5DFEC"/>
        <bgColor rgb="FFE5DFE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2" borderId="7" xfId="0" applyFont="1" applyFill="1" applyBorder="1"/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3" fillId="2" borderId="0" xfId="0" applyFont="1" applyFill="1"/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12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0" fillId="0" borderId="12" xfId="0" applyBorder="1"/>
    <xf numFmtId="0" fontId="10" fillId="0" borderId="0" xfId="0" applyFont="1"/>
    <xf numFmtId="0" fontId="0" fillId="0" borderId="13" xfId="0" applyBorder="1"/>
    <xf numFmtId="0" fontId="14" fillId="0" borderId="13" xfId="0" applyFont="1" applyBorder="1"/>
    <xf numFmtId="0" fontId="14" fillId="0" borderId="0" xfId="0" applyFont="1"/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0" fillId="0" borderId="9" xfId="0" applyBorder="1"/>
    <xf numFmtId="0" fontId="0" fillId="0" borderId="11" xfId="0" applyBorder="1"/>
    <xf numFmtId="0" fontId="18" fillId="0" borderId="13" xfId="0" applyFont="1" applyBorder="1" applyAlignment="1">
      <alignment vertical="center" wrapText="1"/>
    </xf>
    <xf numFmtId="0" fontId="4" fillId="0" borderId="18" xfId="0" applyFont="1" applyBorder="1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left"/>
    </xf>
    <xf numFmtId="0" fontId="9" fillId="8" borderId="23" xfId="0" applyFont="1" applyFill="1" applyBorder="1"/>
    <xf numFmtId="0" fontId="9" fillId="0" borderId="23" xfId="0" applyFont="1" applyBorder="1"/>
    <xf numFmtId="0" fontId="20" fillId="7" borderId="21" xfId="0" applyFont="1" applyFill="1" applyBorder="1"/>
    <xf numFmtId="0" fontId="9" fillId="8" borderId="22" xfId="0" applyFont="1" applyFill="1" applyBorder="1"/>
    <xf numFmtId="0" fontId="22" fillId="0" borderId="0" xfId="0" applyFont="1" applyAlignment="1">
      <alignment horizontal="left" vertical="center" wrapText="1"/>
    </xf>
    <xf numFmtId="0" fontId="3" fillId="2" borderId="21" xfId="0" applyFont="1" applyFill="1" applyBorder="1"/>
    <xf numFmtId="0" fontId="23" fillId="0" borderId="0" xfId="0" applyFont="1"/>
    <xf numFmtId="0" fontId="24" fillId="9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left" vertical="center" wrapText="1"/>
    </xf>
    <xf numFmtId="0" fontId="24" fillId="9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25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left" vertical="center" wrapText="1"/>
    </xf>
    <xf numFmtId="0" fontId="25" fillId="10" borderId="0" xfId="0" applyFont="1" applyFill="1" applyAlignment="1">
      <alignment horizontal="center" vertical="center" wrapText="1"/>
    </xf>
    <xf numFmtId="0" fontId="23" fillId="10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left" vertical="center" wrapText="1"/>
    </xf>
    <xf numFmtId="0" fontId="23" fillId="10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5" fillId="11" borderId="0" xfId="0" applyFont="1" applyFill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6" fillId="12" borderId="0" xfId="0" applyFont="1" applyFill="1" applyAlignment="1">
      <alignment horizontal="center" vertical="center" wrapText="1"/>
    </xf>
    <xf numFmtId="0" fontId="26" fillId="12" borderId="0" xfId="0" applyFont="1" applyFill="1" applyAlignment="1">
      <alignment horizontal="left" vertical="center" wrapText="1"/>
    </xf>
    <xf numFmtId="0" fontId="24" fillId="13" borderId="0" xfId="0" applyFont="1" applyFill="1" applyAlignment="1">
      <alignment horizontal="center" vertical="center" wrapText="1"/>
    </xf>
    <xf numFmtId="0" fontId="24" fillId="13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left" wrapText="1"/>
    </xf>
    <xf numFmtId="0" fontId="23" fillId="14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left" wrapText="1"/>
    </xf>
    <xf numFmtId="0" fontId="24" fillId="9" borderId="0" xfId="0" applyFont="1" applyFill="1" applyAlignment="1">
      <alignment horizontal="center" wrapText="1"/>
    </xf>
    <xf numFmtId="0" fontId="24" fillId="9" borderId="0" xfId="0" applyFont="1" applyFill="1" applyAlignment="1">
      <alignment horizontal="left" wrapText="1"/>
    </xf>
    <xf numFmtId="0" fontId="23" fillId="14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4" fillId="13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left" vertical="center" wrapText="1"/>
    </xf>
    <xf numFmtId="0" fontId="23" fillId="12" borderId="0" xfId="0" applyFont="1" applyFill="1" applyAlignment="1">
      <alignment horizontal="center" vertical="center" wrapText="1"/>
    </xf>
    <xf numFmtId="0" fontId="23" fillId="12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4" fillId="12" borderId="0" xfId="0" applyFont="1" applyFill="1" applyAlignment="1">
      <alignment horizontal="center" vertical="center"/>
    </xf>
    <xf numFmtId="0" fontId="24" fillId="13" borderId="0" xfId="0" applyFont="1" applyFill="1" applyAlignment="1">
      <alignment horizontal="left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left" vertical="top" wrapText="1"/>
    </xf>
    <xf numFmtId="0" fontId="24" fillId="13" borderId="0" xfId="0" applyFont="1" applyFill="1" applyAlignment="1">
      <alignment horizontal="left" vertical="top" wrapText="1"/>
    </xf>
    <xf numFmtId="0" fontId="23" fillId="14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9" fillId="12" borderId="24" xfId="0" applyFont="1" applyFill="1" applyBorder="1" applyAlignment="1">
      <alignment horizontal="center" vertical="center" wrapText="1"/>
    </xf>
    <xf numFmtId="0" fontId="30" fillId="13" borderId="24" xfId="0" applyFont="1" applyFill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9" fillId="1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7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10" fillId="0" borderId="13" xfId="0" applyFont="1" applyBorder="1"/>
    <xf numFmtId="0" fontId="6" fillId="0" borderId="0" xfId="0" applyFont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left" vertical="center" wrapText="1"/>
    </xf>
    <xf numFmtId="0" fontId="10" fillId="0" borderId="14" xfId="0" applyFont="1" applyBorder="1"/>
    <xf numFmtId="0" fontId="10" fillId="0" borderId="15" xfId="0" applyFont="1" applyBorder="1"/>
    <xf numFmtId="0" fontId="10" fillId="0" borderId="16" xfId="0" applyFont="1" applyBorder="1"/>
    <xf numFmtId="0" fontId="13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4" fillId="0" borderId="8" xfId="0" applyFont="1" applyBorder="1" applyAlignment="1" applyProtection="1">
      <alignment horizontal="left" vertical="top" wrapText="1"/>
      <protection locked="0"/>
    </xf>
    <xf numFmtId="0" fontId="6" fillId="0" borderId="13" xfId="0" applyFont="1" applyBorder="1" applyAlignment="1">
      <alignment horizontal="left" vertical="center" wrapText="1"/>
    </xf>
    <xf numFmtId="0" fontId="10" fillId="0" borderId="0" xfId="0" applyFont="1" applyAlignment="1">
      <alignment horizontal="right"/>
    </xf>
    <xf numFmtId="0" fontId="10" fillId="0" borderId="13" xfId="0" applyFont="1" applyBorder="1" applyAlignment="1">
      <alignment horizontal="right"/>
    </xf>
    <xf numFmtId="0" fontId="12" fillId="6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21" fillId="6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18" fillId="6" borderId="17" xfId="0" applyFont="1" applyFill="1" applyBorder="1" applyAlignment="1">
      <alignment horizontal="center" vertical="center" wrapText="1"/>
    </xf>
    <xf numFmtId="0" fontId="18" fillId="6" borderId="18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0" fillId="0" borderId="10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12" fillId="6" borderId="17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2" fillId="6" borderId="19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/>
    </xf>
  </cellXfs>
  <cellStyles count="1">
    <cellStyle name="Normal" xfId="0" builtinId="0"/>
  </cellStyles>
  <dxfs count="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border outline="0">
        <top style="thin">
          <color rgb="FF8EA9DB"/>
        </top>
      </border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bottom style="thin">
          <color rgb="FF8EA9DB"/>
        </bottom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24847</xdr:colOff>
      <xdr:row>3</xdr:row>
      <xdr:rowOff>7830</xdr:rowOff>
    </xdr:from>
    <xdr:to>
      <xdr:col>15</xdr:col>
      <xdr:colOff>1182</xdr:colOff>
      <xdr:row>11</xdr:row>
      <xdr:rowOff>91107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DFB2488-C42B-471F-A114-587FC0B6030B}"/>
            </a:ext>
          </a:extLst>
        </xdr:cNvPr>
        <xdr:cNvGrpSpPr/>
      </xdr:nvGrpSpPr>
      <xdr:grpSpPr>
        <a:xfrm>
          <a:off x="1997883" y="511294"/>
          <a:ext cx="9936763" cy="1389563"/>
          <a:chOff x="2088597" y="166580"/>
          <a:chExt cx="10424353" cy="1353277"/>
        </a:xfrm>
      </xdr:grpSpPr>
      <xdr:grpSp>
        <xdr:nvGrpSpPr>
          <xdr:cNvPr id="3" name="Group 1">
            <a:extLst>
              <a:ext uri="{FF2B5EF4-FFF2-40B4-BE49-F238E27FC236}">
                <a16:creationId xmlns:a16="http://schemas.microsoft.com/office/drawing/2014/main" id="{7B41140C-A8FA-FA47-B690-123573F2A25B}"/>
              </a:ext>
            </a:extLst>
          </xdr:cNvPr>
          <xdr:cNvGrpSpPr>
            <a:grpSpLocks/>
          </xdr:cNvGrpSpPr>
        </xdr:nvGrpSpPr>
        <xdr:grpSpPr bwMode="auto">
          <a:xfrm>
            <a:off x="2088597" y="166580"/>
            <a:ext cx="10424353" cy="1353277"/>
            <a:chOff x="1" y="2"/>
            <a:chExt cx="1161" cy="107"/>
          </a:xfrm>
        </xdr:grpSpPr>
        <xdr:sp macro="" textlink="">
          <xdr:nvSpPr>
            <xdr:cNvPr id="5" name="Rectangle 2">
              <a:extLst>
                <a:ext uri="{FF2B5EF4-FFF2-40B4-BE49-F238E27FC236}">
                  <a16:creationId xmlns:a16="http://schemas.microsoft.com/office/drawing/2014/main" id="{2C069731-0689-8353-E639-946E5CEC16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" y="2"/>
              <a:ext cx="368" cy="8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6" name="Rectangle 3">
              <a:extLst>
                <a:ext uri="{FF2B5EF4-FFF2-40B4-BE49-F238E27FC236}">
                  <a16:creationId xmlns:a16="http://schemas.microsoft.com/office/drawing/2014/main" id="{37D142ED-1D37-358A-7A86-483895D868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9" y="2"/>
              <a:ext cx="793" cy="8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7" name="Rectangle 4">
              <a:extLst>
                <a:ext uri="{FF2B5EF4-FFF2-40B4-BE49-F238E27FC236}">
                  <a16:creationId xmlns:a16="http://schemas.microsoft.com/office/drawing/2014/main" id="{FAACDE74-C9DD-C49E-D346-1AD36DC1649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" y="87"/>
              <a:ext cx="368" cy="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8" name="Rectangle 6">
              <a:extLst>
                <a:ext uri="{FF2B5EF4-FFF2-40B4-BE49-F238E27FC236}">
                  <a16:creationId xmlns:a16="http://schemas.microsoft.com/office/drawing/2014/main" id="{BF6BC086-3F65-C6D1-72CE-8E4967A5423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7" y="87"/>
              <a:ext cx="322" cy="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anchor="ctr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200" b="1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Emisión:</a:t>
              </a:r>
              <a:r>
                <a:rPr lang="es-CO" sz="1200" b="0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02 - 12 - 2024 </a:t>
              </a:r>
              <a:endParaRPr lang="es-CO" sz="12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9" name="Rectangle 7">
              <a:extLst>
                <a:ext uri="{FF2B5EF4-FFF2-40B4-BE49-F238E27FC236}">
                  <a16:creationId xmlns:a16="http://schemas.microsoft.com/office/drawing/2014/main" id="{801CA07C-D846-D71A-FF2A-91271897D8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9" y="87"/>
              <a:ext cx="243" cy="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anchor="ctr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200" b="1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Páginas</a:t>
              </a:r>
              <a:r>
                <a:rPr lang="es-CO" sz="1200" b="0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1 de 1</a:t>
              </a:r>
              <a:endParaRPr lang="es-CO" sz="12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0" name="Text Box 8">
              <a:extLst>
                <a:ext uri="{FF2B5EF4-FFF2-40B4-BE49-F238E27FC236}">
                  <a16:creationId xmlns:a16="http://schemas.microsoft.com/office/drawing/2014/main" id="{9B1E4C61-B464-C017-20F0-2E91072B999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7" y="22"/>
              <a:ext cx="795" cy="4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0" anchor="t" upright="1"/>
            <a:lstStyle/>
            <a:p>
              <a:pPr algn="ctr" rtl="0">
                <a:defRPr sz="1000"/>
              </a:pPr>
              <a:r>
                <a:rPr lang="es-CO" sz="14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ACTA DE HOMOLOGACIÓN O </a:t>
              </a:r>
            </a:p>
            <a:p>
              <a:pPr algn="ctr" rtl="0">
                <a:defRPr sz="1000"/>
              </a:pPr>
              <a:r>
                <a:rPr lang="es-CO" sz="14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RECONOCIMIENTO DE CRÉDITOS ACADÉMICOS</a:t>
              </a:r>
            </a:p>
          </xdr:txBody>
        </xdr:sp>
        <xdr:sp macro="" textlink="">
          <xdr:nvSpPr>
            <xdr:cNvPr id="11" name="Text Box 9">
              <a:extLst>
                <a:ext uri="{FF2B5EF4-FFF2-40B4-BE49-F238E27FC236}">
                  <a16:creationId xmlns:a16="http://schemas.microsoft.com/office/drawing/2014/main" id="{0EB5766D-9A71-EF45-AC87-73E108798C1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" y="84"/>
              <a:ext cx="368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27432" bIns="0" anchor="ctr" upright="1"/>
            <a:lstStyle/>
            <a:p>
              <a:pPr algn="ctr" rtl="0">
                <a:defRPr sz="1000"/>
              </a:pPr>
              <a:r>
                <a:rPr lang="es-CO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Código:</a:t>
              </a:r>
              <a:r>
                <a:rPr lang="es-CO" sz="12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EA-N-F-017</a:t>
              </a:r>
              <a:endParaRPr lang="es-CO" sz="1200" b="0" i="0" u="none" strike="noStrike" baseline="0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12" name="Text Box 10">
              <a:extLst>
                <a:ext uri="{FF2B5EF4-FFF2-40B4-BE49-F238E27FC236}">
                  <a16:creationId xmlns:a16="http://schemas.microsoft.com/office/drawing/2014/main" id="{F7D19E6C-135E-7403-43FF-E2F0357E7A0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" y="87"/>
              <a:ext cx="228" cy="20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ctr" upright="1"/>
            <a:lstStyle/>
            <a:p>
              <a:pPr algn="ctr" rtl="0">
                <a:defRPr sz="1000"/>
              </a:pPr>
              <a:r>
                <a:rPr lang="es-CO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Versión:</a:t>
              </a:r>
              <a:r>
                <a:rPr lang="es-CO" sz="12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03</a:t>
              </a:r>
              <a:endParaRPr lang="es-CO" sz="1200" b="0" i="0" u="none" strike="noStrike" baseline="0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</xdr:grp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B6A024CE-5349-D6A1-0D17-480A8993C2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461177" y="451737"/>
            <a:ext cx="2521429" cy="501223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53397</xdr:colOff>
      <xdr:row>3</xdr:row>
      <xdr:rowOff>7830</xdr:rowOff>
    </xdr:from>
    <xdr:to>
      <xdr:col>55</xdr:col>
      <xdr:colOff>401854</xdr:colOff>
      <xdr:row>11</xdr:row>
      <xdr:rowOff>73079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F05A3A52-CEAD-401F-9070-3B9A7D20736F}"/>
            </a:ext>
          </a:extLst>
        </xdr:cNvPr>
        <xdr:cNvGrpSpPr/>
      </xdr:nvGrpSpPr>
      <xdr:grpSpPr>
        <a:xfrm>
          <a:off x="13034611" y="511294"/>
          <a:ext cx="9941493" cy="1371535"/>
          <a:chOff x="14071023" y="4771733"/>
          <a:chExt cx="10395064" cy="1330713"/>
        </a:xfrm>
      </xdr:grpSpPr>
      <xdr:grpSp>
        <xdr:nvGrpSpPr>
          <xdr:cNvPr id="14" name="Group 1">
            <a:extLst>
              <a:ext uri="{FF2B5EF4-FFF2-40B4-BE49-F238E27FC236}">
                <a16:creationId xmlns:a16="http://schemas.microsoft.com/office/drawing/2014/main" id="{C3A95FC5-6B30-0DB0-0C3F-4E7086E8B89A}"/>
              </a:ext>
            </a:extLst>
          </xdr:cNvPr>
          <xdr:cNvGrpSpPr>
            <a:grpSpLocks/>
          </xdr:cNvGrpSpPr>
        </xdr:nvGrpSpPr>
        <xdr:grpSpPr bwMode="auto">
          <a:xfrm>
            <a:off x="14071023" y="4771733"/>
            <a:ext cx="10395064" cy="1330713"/>
            <a:chOff x="1" y="2"/>
            <a:chExt cx="1161" cy="107"/>
          </a:xfrm>
        </xdr:grpSpPr>
        <xdr:sp macro="" textlink="">
          <xdr:nvSpPr>
            <xdr:cNvPr id="16" name="Rectangle 2">
              <a:extLst>
                <a:ext uri="{FF2B5EF4-FFF2-40B4-BE49-F238E27FC236}">
                  <a16:creationId xmlns:a16="http://schemas.microsoft.com/office/drawing/2014/main" id="{503D58EF-694B-BC08-B4A1-D04EC8B892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" y="2"/>
              <a:ext cx="368" cy="8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7" name="Rectangle 3">
              <a:extLst>
                <a:ext uri="{FF2B5EF4-FFF2-40B4-BE49-F238E27FC236}">
                  <a16:creationId xmlns:a16="http://schemas.microsoft.com/office/drawing/2014/main" id="{E0519CBF-C5CE-CFB8-E8C9-6330E7F97D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9" y="2"/>
              <a:ext cx="793" cy="8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8" name="Rectangle 4">
              <a:extLst>
                <a:ext uri="{FF2B5EF4-FFF2-40B4-BE49-F238E27FC236}">
                  <a16:creationId xmlns:a16="http://schemas.microsoft.com/office/drawing/2014/main" id="{8E4D07B8-E9AF-3022-1CF9-F22C1F3BC7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" y="87"/>
              <a:ext cx="368" cy="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9" name="Rectangle 6">
              <a:extLst>
                <a:ext uri="{FF2B5EF4-FFF2-40B4-BE49-F238E27FC236}">
                  <a16:creationId xmlns:a16="http://schemas.microsoft.com/office/drawing/2014/main" id="{C2CAAA1C-519F-1090-4B29-4CFC570C21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7" y="87"/>
              <a:ext cx="322" cy="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anchor="ctr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200" b="1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Emisión:</a:t>
              </a:r>
              <a:r>
                <a:rPr lang="es-CO" sz="1200" b="0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02 - 12 - 2024 </a:t>
              </a:r>
              <a:endParaRPr lang="es-CO" sz="12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0" name="Rectangle 7">
              <a:extLst>
                <a:ext uri="{FF2B5EF4-FFF2-40B4-BE49-F238E27FC236}">
                  <a16:creationId xmlns:a16="http://schemas.microsoft.com/office/drawing/2014/main" id="{630B2BD8-DF0D-CD24-DEB1-3C07C0ACEA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9" y="87"/>
              <a:ext cx="243" cy="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anchor="ctr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200" b="1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Páginas</a:t>
              </a:r>
              <a:r>
                <a:rPr lang="es-CO" sz="1200" b="0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1 de 1</a:t>
              </a:r>
              <a:endParaRPr lang="es-CO" sz="12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1" name="Text Box 8">
              <a:extLst>
                <a:ext uri="{FF2B5EF4-FFF2-40B4-BE49-F238E27FC236}">
                  <a16:creationId xmlns:a16="http://schemas.microsoft.com/office/drawing/2014/main" id="{8911B42D-E4B8-F16F-4780-D51AF4A5660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7" y="22"/>
              <a:ext cx="795" cy="4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0" anchor="t" upright="1"/>
            <a:lstStyle/>
            <a:p>
              <a:pPr algn="ctr" rtl="0">
                <a:defRPr sz="1000"/>
              </a:pPr>
              <a:r>
                <a:rPr lang="es-CO" sz="14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ACTA DE HOMOLOGACIÓN O </a:t>
              </a:r>
            </a:p>
            <a:p>
              <a:pPr algn="ctr" rtl="0">
                <a:defRPr sz="1000"/>
              </a:pPr>
              <a:r>
                <a:rPr lang="es-CO" sz="14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RECONOCIMIENTO DE CRÉDITOS ACADÉMICOS</a:t>
              </a:r>
            </a:p>
          </xdr:txBody>
        </xdr:sp>
        <xdr:sp macro="" textlink="">
          <xdr:nvSpPr>
            <xdr:cNvPr id="22" name="Text Box 9">
              <a:extLst>
                <a:ext uri="{FF2B5EF4-FFF2-40B4-BE49-F238E27FC236}">
                  <a16:creationId xmlns:a16="http://schemas.microsoft.com/office/drawing/2014/main" id="{24395B46-A843-D8F1-B47D-F73F90B2518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" y="84"/>
              <a:ext cx="368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27432" bIns="0" anchor="ctr" upright="1"/>
            <a:lstStyle/>
            <a:p>
              <a:pPr algn="ctr" rtl="0">
                <a:defRPr sz="1000"/>
              </a:pPr>
              <a:r>
                <a:rPr lang="es-CO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Código:</a:t>
              </a:r>
              <a:r>
                <a:rPr lang="es-CO" sz="12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EA-N-F-017</a:t>
              </a:r>
              <a:endParaRPr lang="es-CO" sz="1200" b="0" i="0" u="none" strike="noStrike" baseline="0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23" name="Text Box 10">
              <a:extLst>
                <a:ext uri="{FF2B5EF4-FFF2-40B4-BE49-F238E27FC236}">
                  <a16:creationId xmlns:a16="http://schemas.microsoft.com/office/drawing/2014/main" id="{EBABAA0C-F4AF-91F8-1391-CFC16B73833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" y="87"/>
              <a:ext cx="228" cy="20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ctr" upright="1"/>
            <a:lstStyle/>
            <a:p>
              <a:pPr algn="ctr" rtl="0">
                <a:defRPr sz="1000"/>
              </a:pPr>
              <a:r>
                <a:rPr lang="es-CO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Versión:</a:t>
              </a:r>
              <a:r>
                <a:rPr lang="es-CO" sz="12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03</a:t>
              </a:r>
              <a:endParaRPr lang="es-CO" sz="1200" b="0" i="0" u="none" strike="noStrike" baseline="0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</xdr:grp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3BF18DBB-1131-EB5F-B8D1-6E6114C8CB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483331" y="5058776"/>
            <a:ext cx="2563198" cy="499185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68942</xdr:colOff>
      <xdr:row>2</xdr:row>
      <xdr:rowOff>5338</xdr:rowOff>
    </xdr:from>
    <xdr:to>
      <xdr:col>41</xdr:col>
      <xdr:colOff>53636</xdr:colOff>
      <xdr:row>7</xdr:row>
      <xdr:rowOff>257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405750D-EF04-4060-B350-9F552597D6C2}"/>
            </a:ext>
          </a:extLst>
        </xdr:cNvPr>
        <xdr:cNvGrpSpPr/>
      </xdr:nvGrpSpPr>
      <xdr:grpSpPr>
        <a:xfrm>
          <a:off x="584413" y="375132"/>
          <a:ext cx="9565723" cy="1339625"/>
          <a:chOff x="14071023" y="4771733"/>
          <a:chExt cx="10395064" cy="1330713"/>
        </a:xfrm>
      </xdr:grpSpPr>
      <xdr:grpSp>
        <xdr:nvGrpSpPr>
          <xdr:cNvPr id="3" name="Group 1">
            <a:extLst>
              <a:ext uri="{FF2B5EF4-FFF2-40B4-BE49-F238E27FC236}">
                <a16:creationId xmlns:a16="http://schemas.microsoft.com/office/drawing/2014/main" id="{5EA22543-FCF7-2AD2-4C26-464F5134DD50}"/>
              </a:ext>
            </a:extLst>
          </xdr:cNvPr>
          <xdr:cNvGrpSpPr>
            <a:grpSpLocks/>
          </xdr:cNvGrpSpPr>
        </xdr:nvGrpSpPr>
        <xdr:grpSpPr bwMode="auto">
          <a:xfrm>
            <a:off x="14071023" y="4771733"/>
            <a:ext cx="10395064" cy="1330713"/>
            <a:chOff x="1" y="2"/>
            <a:chExt cx="1161" cy="107"/>
          </a:xfrm>
        </xdr:grpSpPr>
        <xdr:sp macro="" textlink="">
          <xdr:nvSpPr>
            <xdr:cNvPr id="5" name="Rectangle 2">
              <a:extLst>
                <a:ext uri="{FF2B5EF4-FFF2-40B4-BE49-F238E27FC236}">
                  <a16:creationId xmlns:a16="http://schemas.microsoft.com/office/drawing/2014/main" id="{CF6AC7DC-EAE5-C320-B369-28AA8F8546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" y="2"/>
              <a:ext cx="368" cy="8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6" name="Rectangle 3">
              <a:extLst>
                <a:ext uri="{FF2B5EF4-FFF2-40B4-BE49-F238E27FC236}">
                  <a16:creationId xmlns:a16="http://schemas.microsoft.com/office/drawing/2014/main" id="{9FA03085-1F05-E803-9B79-A4B11CA9F9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9" y="2"/>
              <a:ext cx="793" cy="8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7" name="Rectangle 4">
              <a:extLst>
                <a:ext uri="{FF2B5EF4-FFF2-40B4-BE49-F238E27FC236}">
                  <a16:creationId xmlns:a16="http://schemas.microsoft.com/office/drawing/2014/main" id="{37F6A61C-70BE-F1FC-3211-4BF7B6A1DBE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" y="87"/>
              <a:ext cx="368" cy="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8" name="Rectangle 6">
              <a:extLst>
                <a:ext uri="{FF2B5EF4-FFF2-40B4-BE49-F238E27FC236}">
                  <a16:creationId xmlns:a16="http://schemas.microsoft.com/office/drawing/2014/main" id="{4693EE80-283A-C001-AD62-DC13393F5B5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7" y="87"/>
              <a:ext cx="322" cy="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anchor="ctr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200" b="1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Emisión:</a:t>
              </a:r>
              <a:r>
                <a:rPr lang="es-CO" sz="1200" b="0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0X - 10 - 2024 </a:t>
              </a:r>
              <a:endParaRPr lang="es-CO" sz="12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9" name="Rectangle 7">
              <a:extLst>
                <a:ext uri="{FF2B5EF4-FFF2-40B4-BE49-F238E27FC236}">
                  <a16:creationId xmlns:a16="http://schemas.microsoft.com/office/drawing/2014/main" id="{63BE4F05-C655-AE19-7E62-335FF2B28A4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9" y="87"/>
              <a:ext cx="243" cy="2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anchor="ctr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200" b="1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Páginas</a:t>
              </a:r>
              <a:r>
                <a:rPr lang="es-CO" sz="1200" b="0" i="0" baseline="0"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1 de 1</a:t>
              </a:r>
              <a:endParaRPr lang="es-CO" sz="12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0" name="Text Box 8">
              <a:extLst>
                <a:ext uri="{FF2B5EF4-FFF2-40B4-BE49-F238E27FC236}">
                  <a16:creationId xmlns:a16="http://schemas.microsoft.com/office/drawing/2014/main" id="{6793F4C6-5BD6-0CEF-D0AD-5D96F4F65E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7" y="22"/>
              <a:ext cx="795" cy="4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7432" rIns="36576" bIns="0" anchor="t" upright="1"/>
            <a:lstStyle/>
            <a:p>
              <a:pPr algn="ctr" rtl="0">
                <a:defRPr sz="1000"/>
              </a:pPr>
              <a:r>
                <a:rPr lang="es-CO" sz="14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ACTA DE HOMOLOGACIÓN O </a:t>
              </a:r>
            </a:p>
            <a:p>
              <a:pPr algn="ctr" rtl="0">
                <a:defRPr sz="1000"/>
              </a:pPr>
              <a:r>
                <a:rPr lang="es-CO" sz="14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RECONOCIMIENTO DE CRÉDITOSACADÉMICOS</a:t>
              </a:r>
            </a:p>
          </xdr:txBody>
        </xdr:sp>
        <xdr:sp macro="" textlink="">
          <xdr:nvSpPr>
            <xdr:cNvPr id="11" name="Text Box 9">
              <a:extLst>
                <a:ext uri="{FF2B5EF4-FFF2-40B4-BE49-F238E27FC236}">
                  <a16:creationId xmlns:a16="http://schemas.microsoft.com/office/drawing/2014/main" id="{EF98660D-3E53-1C11-53EA-034A595FB5F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" y="84"/>
              <a:ext cx="368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7432" rIns="27432" bIns="0" anchor="ctr" upright="1"/>
            <a:lstStyle/>
            <a:p>
              <a:pPr algn="ctr" rtl="0">
                <a:defRPr sz="1000"/>
              </a:pPr>
              <a:r>
                <a:rPr lang="es-CO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Código:</a:t>
              </a:r>
              <a:r>
                <a:rPr lang="es-CO" sz="12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EA-N-F-017</a:t>
              </a:r>
              <a:endParaRPr lang="es-CO" sz="1200" b="0" i="0" u="none" strike="noStrike" baseline="0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12" name="Text Box 10">
              <a:extLst>
                <a:ext uri="{FF2B5EF4-FFF2-40B4-BE49-F238E27FC236}">
                  <a16:creationId xmlns:a16="http://schemas.microsoft.com/office/drawing/2014/main" id="{33D156C8-51D7-52B2-AAF6-5CAA076D99D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" y="87"/>
              <a:ext cx="228" cy="20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ctr" upright="1"/>
            <a:lstStyle/>
            <a:p>
              <a:pPr algn="ctr" rtl="0">
                <a:defRPr sz="1000"/>
              </a:pPr>
              <a:r>
                <a:rPr lang="es-CO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Versión:</a:t>
              </a:r>
              <a:r>
                <a:rPr lang="es-CO" sz="12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03</a:t>
              </a:r>
              <a:endParaRPr lang="es-CO" sz="1200" b="0" i="0" u="none" strike="noStrike" baseline="0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</xdr:grp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E614C37D-2412-66FB-F24B-9430A84C84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483331" y="5058776"/>
            <a:ext cx="2563198" cy="499185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Julian Alba Gualteros" refreshedDate="45590.398077314814" createdVersion="8" refreshedVersion="8" minRefreshableVersion="3" recordCount="594" xr:uid="{1FE53F27-9C1E-418B-87D1-59C3EF24DAA2}">
  <cacheSource type="worksheet">
    <worksheetSource name="Tabla1"/>
  </cacheSource>
  <cacheFields count="4">
    <cacheField name="PROGRAMA" numFmtId="0">
      <sharedItems count="10">
        <s v="ADMINISTRACIÓN AMBIENTAL Y DE LOS RECURSOS NATURALES"/>
        <s v="CONSTRUCCIÓN EN ARQUITECTURA E INGENIERÍA "/>
        <s v="INGENIERÍA EN INFORMATICA"/>
        <s v="INGENIERÍA EN LOGÍSTICA Y OPERACIONES"/>
        <s v="ZOOTECNIA"/>
        <s v="ADMINISTRACIÓN DE EMPRESAS"/>
        <s v="INGENIERÍA CIVIL"/>
        <s v="LICENCIATURA EN EDUCACIÓN INFANTIL"/>
        <s v="CULTURA FÍSICA, DEPORTE Y RECREACIÓN"/>
        <s v="INGENIERÍA AMBIENTAL"/>
      </sharedItems>
    </cacheField>
    <cacheField name="CÓDIGO" numFmtId="0">
      <sharedItems containsString="0" containsBlank="1" containsNumber="1" containsInteger="1" minValue="9511" maxValue="96303"/>
    </cacheField>
    <cacheField name="ESPACIO ACADÉMICO DESTINO" numFmtId="0">
      <sharedItems/>
    </cacheField>
    <cacheField name="CRÉDITOS" numFmtId="0">
      <sharedItems containsSemiMixedTypes="0" containsString="0" containsNumber="1" containsInteger="1" minValue="0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4">
  <r>
    <x v="0"/>
    <n v="15135"/>
    <s v="COMUNICACIÓN ORAL Y ESCRITA"/>
    <n v="2"/>
  </r>
  <r>
    <x v="0"/>
    <n v="16570"/>
    <s v="INGLÉS I"/>
    <n v="2"/>
  </r>
  <r>
    <x v="0"/>
    <n v="48131"/>
    <s v="MATEMÁTICAS I (CALCULO DIFERENCIAL)"/>
    <n v="2"/>
  </r>
  <r>
    <x v="0"/>
    <n v="48132"/>
    <s v="FUNDAMENTOS AMBIENTALES"/>
    <n v="3"/>
  </r>
  <r>
    <x v="0"/>
    <n v="48133"/>
    <s v="BASES QUÍMICAS DEL AMBIENTE"/>
    <n v="3"/>
  </r>
  <r>
    <x v="0"/>
    <n v="48134"/>
    <s v="PENSAMIENTO ADMINISTRATIVO"/>
    <n v="3"/>
  </r>
  <r>
    <x v="0"/>
    <n v="95108"/>
    <s v="FILOSOFÍA INSTITUCIONAL"/>
    <n v="2"/>
  </r>
  <r>
    <x v="0"/>
    <n v="16571"/>
    <s v="INGLÉS II"/>
    <n v="2"/>
  </r>
  <r>
    <x v="0"/>
    <n v="16987"/>
    <s v="CARTOGRAFÍA BÁSICA Y DIGITAL"/>
    <n v="2"/>
  </r>
  <r>
    <x v="0"/>
    <n v="48143"/>
    <s v="MATEMÁTICAS II (CALCULO INTEGRAL)"/>
    <n v="2"/>
  </r>
  <r>
    <x v="0"/>
    <n v="48144"/>
    <s v="PROCESO ADMINISTRATIVO"/>
    <n v="2"/>
  </r>
  <r>
    <x v="0"/>
    <n v="48145"/>
    <s v="CONTABILIDAD Y FINANZAS"/>
    <n v="2"/>
  </r>
  <r>
    <x v="0"/>
    <n v="48146"/>
    <s v="OPCIONAL COMPLEMENTARIA"/>
    <n v="2"/>
  </r>
  <r>
    <x v="0"/>
    <n v="73514"/>
    <s v="LEGISLACIÓN AMBIENTAL"/>
    <n v="3"/>
  </r>
  <r>
    <x v="0"/>
    <n v="95109"/>
    <s v="ANTROPOLOGÍA"/>
    <n v="2"/>
  </r>
  <r>
    <x v="0"/>
    <n v="16572"/>
    <s v="INGLÉS III"/>
    <n v="2"/>
  </r>
  <r>
    <x v="0"/>
    <n v="16664"/>
    <s v="MICROECONOMÍA"/>
    <n v="2"/>
  </r>
  <r>
    <x v="0"/>
    <n v="16960"/>
    <s v="SALUD AMBIENTAL Y PARTICIPACIÓN COMUNITARIA"/>
    <n v="2"/>
  </r>
  <r>
    <x v="0"/>
    <n v="48147"/>
    <s v="ESTADÍSTICA I (DESCRIPTIVA)"/>
    <n v="2"/>
  </r>
  <r>
    <x v="0"/>
    <n v="48148"/>
    <s v="FUNDAMENTOS DE ECOLOGÍA (AARN)"/>
    <n v="2"/>
  </r>
  <r>
    <x v="0"/>
    <n v="48149"/>
    <s v="INTRODUCCIÓN A CUENCAS HIDROGRÁFICAS"/>
    <n v="2"/>
  </r>
  <r>
    <x v="0"/>
    <n v="48150"/>
    <s v="COSTOS Y PRESUPUESTOS"/>
    <n v="2"/>
  </r>
  <r>
    <x v="0"/>
    <n v="48151"/>
    <s v="SISTEMAS DE INFORMACIÓN GEOGRÁFICA"/>
    <n v="2"/>
  </r>
  <r>
    <x v="0"/>
    <n v="95110"/>
    <s v="EPISTEMOLOGÍA"/>
    <n v="2"/>
  </r>
  <r>
    <x v="0"/>
    <n v="16573"/>
    <s v="INGLÉS IV"/>
    <n v="2"/>
  </r>
  <r>
    <x v="0"/>
    <n v="16675"/>
    <s v="MACROECONOMÍA"/>
    <n v="2"/>
  </r>
  <r>
    <x v="0"/>
    <n v="48152"/>
    <s v="RECURSOS BIÓTICOS"/>
    <n v="3"/>
  </r>
  <r>
    <x v="0"/>
    <n v="48153"/>
    <s v="CREATIVIDAD Y EMPRENDIMIENTO"/>
    <n v="2"/>
  </r>
  <r>
    <x v="0"/>
    <n v="48154"/>
    <s v="TRABAJO DE CAMPO I"/>
    <n v="2"/>
  </r>
  <r>
    <x v="0"/>
    <n v="48155"/>
    <s v="POLÍTICAS Y MARCO JURÍDICO GLOBAL PARA EL DESARROLLO"/>
    <n v="3"/>
  </r>
  <r>
    <x v="0"/>
    <n v="48156"/>
    <s v="TALLER COMUNITARIO AMBIENTAL"/>
    <n v="2"/>
  </r>
  <r>
    <x v="0"/>
    <n v="95111"/>
    <s v="CULTURA TEOLÓGICA"/>
    <n v="2"/>
  </r>
  <r>
    <x v="0"/>
    <n v="16617"/>
    <s v="DESARROLLO SOSTENIBLE"/>
    <n v="3"/>
  </r>
  <r>
    <x v="0"/>
    <n v="48157"/>
    <s v="RECURSOS ABIÓTICO I"/>
    <n v="2"/>
  </r>
  <r>
    <x v="0"/>
    <n v="48158"/>
    <s v="RECURSOS ABIÓTICO II"/>
    <n v="2"/>
  </r>
  <r>
    <x v="0"/>
    <n v="48159"/>
    <s v="ESTRATEGIA Y PROSPECTIVA AMBIENTAL"/>
    <n v="2"/>
  </r>
  <r>
    <x v="0"/>
    <n v="48160"/>
    <s v="CAMBIO CLIMÁTICO"/>
    <n v="2"/>
  </r>
  <r>
    <x v="0"/>
    <n v="48161"/>
    <s v="PROFUNDIZACIÓN I MANEJO DE ÁREAS NATURALES (16972)"/>
    <n v="3"/>
  </r>
  <r>
    <x v="0"/>
    <n v="73633"/>
    <s v="INGLÉS V"/>
    <n v="2"/>
  </r>
  <r>
    <x v="0"/>
    <n v="95112"/>
    <s v="FILOSOFÍA POLÍTICA"/>
    <n v="2"/>
  </r>
  <r>
    <x v="0"/>
    <n v="16423"/>
    <s v="EVALUACIÓN DE IMPACTO AMBIENTAL"/>
    <n v="2"/>
  </r>
  <r>
    <x v="0"/>
    <n v="48162"/>
    <s v="RESPONSABILIDAD SOCIAL PARA EL DESARROLLO SOSTENIBLE"/>
    <n v="2"/>
  </r>
  <r>
    <x v="0"/>
    <n v="48163"/>
    <s v="SISTEMAS INTEGRADOS DE GESTIÓN"/>
    <n v="3"/>
  </r>
  <r>
    <x v="0"/>
    <n v="48164"/>
    <s v="TRABAJO DE CAMPO II"/>
    <n v="2"/>
  </r>
  <r>
    <x v="0"/>
    <n v="48165"/>
    <s v="ECONOMÍA AMBIENTAL Y RECURSOS NATURALES"/>
    <n v="2"/>
  </r>
  <r>
    <x v="0"/>
    <n v="48166"/>
    <s v="PROFUNDIZACIÓN II TECNOLOGÍAS LIMPIAS (16392)"/>
    <n v="3"/>
  </r>
  <r>
    <x v="0"/>
    <n v="73638"/>
    <s v="INGLÉS VI"/>
    <n v="2"/>
  </r>
  <r>
    <x v="0"/>
    <n v="95113"/>
    <s v="ÉTICA"/>
    <n v="2"/>
  </r>
  <r>
    <x v="0"/>
    <n v="16395"/>
    <s v="CATEDRA OPCIONAL"/>
    <n v="3"/>
  </r>
  <r>
    <x v="0"/>
    <n v="48167"/>
    <s v="GESTIÓN DE PROYECTOS AMBIENTALES"/>
    <n v="3"/>
  </r>
  <r>
    <x v="0"/>
    <n v="48168"/>
    <s v="GESTIÓN DEL RIESGO"/>
    <n v="2"/>
  </r>
  <r>
    <x v="0"/>
    <n v="48169"/>
    <s v="RENEWABLE ENERGY"/>
    <n v="2"/>
  </r>
  <r>
    <x v="0"/>
    <n v="48170"/>
    <s v="PROFUNDIZACIÓN III PLANES DE ORDENAMIENTO TERRITORIAL Y PROSPECTIVA (48201)"/>
    <n v="3"/>
  </r>
  <r>
    <x v="0"/>
    <n v="48171"/>
    <s v="PROFUNDIZACIÓN IV-CONSERVACIÓN Y RESTAURACIÓN ECOLÓGICA (48202)"/>
    <n v="3"/>
  </r>
  <r>
    <x v="0"/>
    <n v="48172"/>
    <s v="PROFUNDIZACIÓN V MANEJO INTEGRADO DEL MEDIO AMBIENTE (73337)"/>
    <n v="3"/>
  </r>
  <r>
    <x v="0"/>
    <n v="48173"/>
    <s v="OPCIONES DE GRADO"/>
    <n v="12"/>
  </r>
  <r>
    <x v="1"/>
    <n v="73249"/>
    <s v="INTRODUCCIÓN A LA CONSTRUCCIÓN"/>
    <n v="3"/>
  </r>
  <r>
    <x v="1"/>
    <n v="48241"/>
    <s v="REPRESENTACIÓN GRÁFICA"/>
    <n v="3"/>
  </r>
  <r>
    <x v="1"/>
    <n v="48242"/>
    <s v="MATEMÁTICAS FUNDAMENTALES"/>
    <n v="3"/>
  </r>
  <r>
    <x v="1"/>
    <n v="96112"/>
    <s v="FÍSICA MECÁNICA"/>
    <n v="3"/>
  </r>
  <r>
    <x v="1"/>
    <n v="16570"/>
    <s v="INGLÉS I"/>
    <n v="2"/>
  </r>
  <r>
    <x v="1"/>
    <n v="15135"/>
    <s v="COMUNICACIÓN ORAL Y ESCRITA"/>
    <n v="2"/>
  </r>
  <r>
    <x v="1"/>
    <n v="48243"/>
    <s v="CÁTEDRA OPCIONAL INSTITUCIONAL"/>
    <n v="3"/>
  </r>
  <r>
    <x v="1"/>
    <n v="73251"/>
    <s v="ESTÁTICA"/>
    <n v="3"/>
  </r>
  <r>
    <x v="1"/>
    <n v="96110"/>
    <s v="CÁLCULO DIFERENCIAL"/>
    <n v="3"/>
  </r>
  <r>
    <x v="1"/>
    <n v="96201"/>
    <s v="QUÍMICA GENERAL"/>
    <n v="3"/>
  </r>
  <r>
    <x v="1"/>
    <n v="16571"/>
    <s v="INGLÉS II"/>
    <n v="2"/>
  </r>
  <r>
    <x v="1"/>
    <n v="95108"/>
    <s v="FILOSOFÍA INSTITUCIONAL"/>
    <n v="2"/>
  </r>
  <r>
    <x v="1"/>
    <n v="48245"/>
    <s v="TOPOGRAFÍA Y CARTOGRAFÍA"/>
    <n v="3"/>
  </r>
  <r>
    <x v="1"/>
    <n v="96111"/>
    <s v="ÁLGEBRA LINEAL"/>
    <n v="3"/>
  </r>
  <r>
    <x v="1"/>
    <n v="96113"/>
    <s v="CÁLCULO INTEGRAL"/>
    <n v="3"/>
  </r>
  <r>
    <x v="1"/>
    <n v="48244"/>
    <s v="FÍSICA ELECTRICIDAD Y MAGNETISMO"/>
    <n v="3"/>
  </r>
  <r>
    <x v="1"/>
    <n v="16572"/>
    <s v="INGLÉS III"/>
    <n v="2"/>
  </r>
  <r>
    <x v="1"/>
    <n v="95109"/>
    <s v="ANTROPOLOGÍA"/>
    <n v="2"/>
  </r>
  <r>
    <x v="1"/>
    <n v="48272"/>
    <s v="PRÁCTICA INTEGRADA I"/>
    <n v="2"/>
  </r>
  <r>
    <x v="1"/>
    <n v="73942"/>
    <s v="MECÁNICA DE MATERIALES"/>
    <n v="3"/>
  </r>
  <r>
    <x v="1"/>
    <n v="96303"/>
    <s v="LÓGICA DE PROGRAMACIÓN"/>
    <n v="3"/>
  </r>
  <r>
    <x v="1"/>
    <n v="96115"/>
    <s v="CÁLCULO VECTORIAL"/>
    <n v="3"/>
  </r>
  <r>
    <x v="1"/>
    <n v="16573"/>
    <s v="INGLÉS IV"/>
    <n v="2"/>
  </r>
  <r>
    <x v="1"/>
    <n v="48246"/>
    <s v="PROCESOS CONSTRUCTIVOS"/>
    <n v="3"/>
  </r>
  <r>
    <x v="1"/>
    <n v="48247"/>
    <s v="MATERIALES DE CONSTRUCCIÓN"/>
    <n v="3"/>
  </r>
  <r>
    <x v="1"/>
    <n v="48248"/>
    <s v="MECÁNICA DE SUELOS"/>
    <n v="3"/>
  </r>
  <r>
    <x v="1"/>
    <n v="96117"/>
    <s v="ECUACIONES DIFERENCIALES"/>
    <n v="3"/>
  </r>
  <r>
    <x v="1"/>
    <n v="16806"/>
    <s v="PROBABILIDAD Y ESTADÍSTICA"/>
    <n v="2"/>
  </r>
  <r>
    <x v="1"/>
    <n v="73633"/>
    <s v="INGLÉS V"/>
    <n v="2"/>
  </r>
  <r>
    <x v="1"/>
    <n v="48249"/>
    <s v="PRESUPUESTOS Y PROGRAMACIÓN DE OBRAS"/>
    <n v="3"/>
  </r>
  <r>
    <x v="1"/>
    <n v="48250"/>
    <s v="CONSTRUCCIÓN Y CONSERVACIÓN DE VÍAS"/>
    <n v="3"/>
  </r>
  <r>
    <x v="1"/>
    <n v="48251"/>
    <s v="CONSTRUCCIÓN DE OBRAS EN CONCRETO"/>
    <n v="3"/>
  </r>
  <r>
    <x v="1"/>
    <n v="73943"/>
    <s v="ANÁLISIS ESTRUCTURAL"/>
    <n v="3"/>
  </r>
  <r>
    <x v="1"/>
    <n v="73638"/>
    <s v="INGLÉS VI"/>
    <n v="2"/>
  </r>
  <r>
    <x v="1"/>
    <n v="95110"/>
    <s v="EPISTEMOLOGÍA"/>
    <n v="2"/>
  </r>
  <r>
    <x v="1"/>
    <n v="48252"/>
    <s v="PROYECTO OPCIONAL INVESTIGATIVO"/>
    <n v="2"/>
  </r>
  <r>
    <x v="1"/>
    <n v="73952"/>
    <s v="DIRECCIÓN Y CONTROL DE OBRA"/>
    <n v="3"/>
  </r>
  <r>
    <x v="1"/>
    <n v="48253"/>
    <s v="CONSTRUCCIÓN DE SISTEMAS INDUSTRIALIZADOS"/>
    <n v="2"/>
  </r>
  <r>
    <x v="1"/>
    <n v="48254"/>
    <s v="CONSTRUCCIÓN DE OBRAS VIALES COMPLEMENTARIAS"/>
    <n v="2"/>
  </r>
  <r>
    <x v="1"/>
    <n v="48255"/>
    <s v="CONSTRUCCIÓN DE FUNDACIONES"/>
    <n v="3"/>
  </r>
  <r>
    <x v="1"/>
    <n v="95111"/>
    <s v="CULTURA TEOLÓGICA"/>
    <n v="2"/>
  </r>
  <r>
    <x v="1"/>
    <n v="48256"/>
    <s v="MERCADEO INMOBILIARIO"/>
    <n v="2"/>
  </r>
  <r>
    <x v="1"/>
    <n v="48273"/>
    <s v="PRÁCTICA INTEGRADA II"/>
    <n v="3"/>
  </r>
  <r>
    <x v="1"/>
    <n v="48257"/>
    <s v="CONSTRUCCIÓN DE INSTALACIONES"/>
    <n v="2"/>
  </r>
  <r>
    <x v="1"/>
    <n v="48258"/>
    <s v="CONSTRUCCIÓN DE ACUEDUCTO Y ALCANTARILLADO"/>
    <n v="3"/>
  </r>
  <r>
    <x v="1"/>
    <n v="48259"/>
    <s v="CONSTRUCCIÓN DE ELEMENTOS NO ESTRUCTURALES"/>
    <n v="2"/>
  </r>
  <r>
    <x v="1"/>
    <n v="95112"/>
    <s v="FILOSOFÍA POLÍTICA"/>
    <n v="2"/>
  </r>
  <r>
    <x v="1"/>
    <n v="73632"/>
    <s v="CÁTEDRA OPCIONAL COMPLEMENTARIA"/>
    <n v="3"/>
  </r>
  <r>
    <x v="1"/>
    <n v="73948"/>
    <s v="FORMULACIÓN Y EVALUACIÓN DE PROYECTOS"/>
    <n v="3"/>
  </r>
  <r>
    <x v="1"/>
    <n v="48260"/>
    <s v="ENVIRONMENTAL MANAGEMENT AND SUSTAINABLE DEVELOPMENT"/>
    <n v="3"/>
  </r>
  <r>
    <x v="1"/>
    <n v="95113"/>
    <s v="ÉTICA"/>
    <n v="2"/>
  </r>
  <r>
    <x v="1"/>
    <n v="48161"/>
    <s v="PROFUNDIZACIÓN I"/>
    <n v="3"/>
  </r>
  <r>
    <x v="1"/>
    <n v="48166"/>
    <s v="PROFUNDIZACIÓN II"/>
    <n v="3"/>
  </r>
  <r>
    <x v="1"/>
    <n v="73226"/>
    <s v="OPCIÓN DE GRADO"/>
    <n v="4"/>
  </r>
  <r>
    <x v="1"/>
    <n v="48274"/>
    <s v="PRÁCTICA INTEGRADA III"/>
    <n v="3"/>
  </r>
  <r>
    <x v="1"/>
    <n v="48170"/>
    <s v="PROFUNDIZACIÓN III"/>
    <n v="3"/>
  </r>
  <r>
    <x v="1"/>
    <n v="48171"/>
    <s v="PROFUNDIZACIÓN IV"/>
    <n v="3"/>
  </r>
  <r>
    <x v="2"/>
    <n v="16320"/>
    <s v="METODOLOGÍA DE LA EDUCACIÓN A DISTANCIA"/>
    <n v="2"/>
  </r>
  <r>
    <x v="2"/>
    <n v="16570"/>
    <s v="INGLÉS I"/>
    <n v="2"/>
  </r>
  <r>
    <x v="2"/>
    <n v="96134"/>
    <s v="FUNDAMENTOS DE MATEMÁTICAS"/>
    <n v="3"/>
  </r>
  <r>
    <x v="2"/>
    <n v="73418"/>
    <s v="INTRODUCCIÓN A LA INGENIERÍA"/>
    <n v="3"/>
  </r>
  <r>
    <x v="2"/>
    <n v="73419"/>
    <s v="TEORÍA GENERAL DE SISTEMAS"/>
    <n v="3"/>
  </r>
  <r>
    <x v="2"/>
    <n v="16869"/>
    <s v="LÓGICA MATEMÁTICA"/>
    <n v="3"/>
  </r>
  <r>
    <x v="2"/>
    <n v="16323"/>
    <s v="FILOSOFÍA INSTITUCIONAL"/>
    <n v="3"/>
  </r>
  <r>
    <x v="2"/>
    <n v="73421"/>
    <s v="CIRCUITOS BÁSICOS"/>
    <n v="3"/>
  </r>
  <r>
    <x v="2"/>
    <n v="16571"/>
    <s v="INGLÉS II"/>
    <n v="2"/>
  </r>
  <r>
    <x v="2"/>
    <n v="96110"/>
    <s v="CALCULO DIFERENCIAL"/>
    <n v="3"/>
  </r>
  <r>
    <x v="2"/>
    <n v="96111"/>
    <s v="ALGEBRA LINEAL"/>
    <n v="3"/>
  </r>
  <r>
    <x v="2"/>
    <n v="15135"/>
    <s v="COMUNICACIÓN ORAL Y ESCRITA"/>
    <n v="2"/>
  </r>
  <r>
    <x v="2"/>
    <n v="73420"/>
    <s v="ALGORITMOS DE PROGRAMACIÓN"/>
    <n v="3"/>
  </r>
  <r>
    <x v="2"/>
    <n v="95109"/>
    <s v="ANTROPOLOGÍA"/>
    <n v="3"/>
  </r>
  <r>
    <x v="2"/>
    <n v="16572"/>
    <s v="INGLÉS III"/>
    <n v="2"/>
  </r>
  <r>
    <x v="2"/>
    <n v="96113"/>
    <s v="CALCULO INTEGRAL"/>
    <n v="3"/>
  </r>
  <r>
    <x v="2"/>
    <n v="96112"/>
    <s v="FÍSICA MECÁNICA"/>
    <n v="3"/>
  </r>
  <r>
    <x v="2"/>
    <n v="16881"/>
    <s v="ESTRUCTURAS DE DATOS"/>
    <n v="3"/>
  </r>
  <r>
    <x v="2"/>
    <n v="73424"/>
    <s v="SISTEMAS OPERATIVOS"/>
    <n v="3"/>
  </r>
  <r>
    <x v="2"/>
    <n v="16821"/>
    <s v="ELECTIVA PROFESIONAL I"/>
    <n v="3"/>
  </r>
  <r>
    <x v="2"/>
    <n v="96115"/>
    <s v="CALCULO VECTORIAL"/>
    <n v="3"/>
  </r>
  <r>
    <x v="2"/>
    <n v="16573"/>
    <s v="INGLÉS IV"/>
    <n v="2"/>
  </r>
  <r>
    <x v="2"/>
    <n v="73658"/>
    <s v="ELECTRICIDAD Y MAGNETISMO"/>
    <n v="3"/>
  </r>
  <r>
    <x v="2"/>
    <n v="73425"/>
    <s v="PROGRAMACIÓN BÁSICA"/>
    <n v="3"/>
  </r>
  <r>
    <x v="2"/>
    <n v="95110"/>
    <s v="EPISTEMOLOGÍA"/>
    <n v="2"/>
  </r>
  <r>
    <x v="2"/>
    <n v="16806"/>
    <s v="PROBABILIDAD Y ESTADÍSTICA"/>
    <n v="2"/>
  </r>
  <r>
    <x v="2"/>
    <n v="73620"/>
    <s v="METODOLOGÍA DE LA INVESTIGACIÓN"/>
    <n v="2"/>
  </r>
  <r>
    <x v="2"/>
    <n v="16826"/>
    <s v="ELECTIVA PROFESIONAL II"/>
    <n v="2"/>
  </r>
  <r>
    <x v="2"/>
    <n v="16887"/>
    <s v="TEORÍA DE GRAFOS"/>
    <n v="3"/>
  </r>
  <r>
    <x v="2"/>
    <n v="73633"/>
    <s v="INGLÉS V"/>
    <n v="2"/>
  </r>
  <r>
    <x v="2"/>
    <n v="16879"/>
    <s v="ANÁLISIS Y DISEÑO DE SISTEMAS"/>
    <n v="3"/>
  </r>
  <r>
    <x v="2"/>
    <n v="73426"/>
    <s v="ESTRUCTURA DE REDES"/>
    <n v="3"/>
  </r>
  <r>
    <x v="2"/>
    <n v="95111"/>
    <s v="CULTURA TEOLÓGICA"/>
    <n v="3"/>
  </r>
  <r>
    <x v="2"/>
    <n v="16831"/>
    <s v="ELECTIVA PROFESIONAL III"/>
    <n v="3"/>
  </r>
  <r>
    <x v="2"/>
    <n v="73638"/>
    <s v="INGLÉS VI"/>
    <n v="2"/>
  </r>
  <r>
    <x v="2"/>
    <n v="16883"/>
    <s v="INGENIERÍA DE SOFTWARE"/>
    <n v="3"/>
  </r>
  <r>
    <x v="2"/>
    <n v="16880"/>
    <s v="TRABAJO COMUNITARIO I"/>
    <n v="3"/>
  </r>
  <r>
    <x v="2"/>
    <n v="96117"/>
    <s v="ECUACIONES DIFERENCIALES"/>
    <n v="3"/>
  </r>
  <r>
    <x v="2"/>
    <n v="16643"/>
    <s v="ESTADÍSTICA APLICADA"/>
    <n v="2"/>
  </r>
  <r>
    <x v="2"/>
    <n v="16836"/>
    <s v="ELECTIVA PROFESIONAL IV"/>
    <n v="3"/>
  </r>
  <r>
    <x v="2"/>
    <n v="73622"/>
    <s v="MÉTODOS Y TÉCNICAS DE INVESTIGACIÓN"/>
    <n v="2"/>
  </r>
  <r>
    <x v="2"/>
    <n v="16885"/>
    <s v="SOLUCIONES TELEMÁTICAS EMPRESARIALES"/>
    <n v="3"/>
  </r>
  <r>
    <x v="2"/>
    <n v="73428"/>
    <s v="DISEÑO DE BASES DE DATOS"/>
    <n v="3"/>
  </r>
  <r>
    <x v="2"/>
    <n v="16395"/>
    <s v="CATEDRA OPCIONAL"/>
    <n v="3"/>
  </r>
  <r>
    <x v="2"/>
    <n v="16841"/>
    <s v="ELECTIVA PROFESIONAL V"/>
    <n v="3"/>
  </r>
  <r>
    <x v="2"/>
    <n v="16846"/>
    <s v="ELECTIVA DE ÉNFASIS I"/>
    <n v="2"/>
  </r>
  <r>
    <x v="2"/>
    <n v="16698"/>
    <s v="TRABAJO COMUNITARIO II"/>
    <n v="3"/>
  </r>
  <r>
    <x v="2"/>
    <n v="73655"/>
    <s v="INVESTIGACIÓN DE OPERACIONES"/>
    <n v="3"/>
  </r>
  <r>
    <x v="2"/>
    <n v="73429"/>
    <s v="PROGRAMACIÓN AVANZADA"/>
    <n v="3"/>
  </r>
  <r>
    <x v="2"/>
    <n v="95112"/>
    <s v="FILOSOFÍA POLÍTICA"/>
    <n v="2"/>
  </r>
  <r>
    <x v="2"/>
    <n v="95113"/>
    <s v="ÉTICA"/>
    <n v="2"/>
  </r>
  <r>
    <x v="2"/>
    <n v="16850"/>
    <s v="ELECTIVA DE ÉNFASIS II"/>
    <n v="2"/>
  </r>
  <r>
    <x v="2"/>
    <n v="16886"/>
    <s v="ANÁLISIS NUMÉRICO"/>
    <n v="3"/>
  </r>
  <r>
    <x v="2"/>
    <n v="73430"/>
    <s v="ADMINISTRACIÓN DE BASES DE DATOS"/>
    <n v="3"/>
  </r>
  <r>
    <x v="2"/>
    <n v="16890"/>
    <s v="PROYECTO INFORMÁTICO I"/>
    <n v="4"/>
  </r>
  <r>
    <x v="2"/>
    <n v="16884"/>
    <s v="TEORÍA DE LA DECISIÓN"/>
    <n v="3"/>
  </r>
  <r>
    <x v="2"/>
    <n v="16854"/>
    <s v="ELECTIVA DE ÉNFASIS III"/>
    <n v="3"/>
  </r>
  <r>
    <x v="2"/>
    <n v="16891"/>
    <s v="PROYECTO INFORMÁTICO II"/>
    <n v="4"/>
  </r>
  <r>
    <x v="2"/>
    <n v="73431"/>
    <s v="DESARROLLO DE SOFTWARE"/>
    <n v="3"/>
  </r>
  <r>
    <x v="2"/>
    <n v="73432"/>
    <s v="AUDITORIA DE SISTEMAS"/>
    <n v="3"/>
  </r>
  <r>
    <x v="3"/>
    <n v="15135"/>
    <s v="COMUNICACIÓN ORAL Y ESCRITA"/>
    <n v="2"/>
  </r>
  <r>
    <x v="3"/>
    <n v="16320"/>
    <s v="METODOLOGÍA EDUCACIÓN A DISTANCIA"/>
    <n v="2"/>
  </r>
  <r>
    <x v="3"/>
    <n v="16690"/>
    <s v="FUNDAMENTOS DE ADMINISTRACIÓN"/>
    <n v="2"/>
  </r>
  <r>
    <x v="3"/>
    <n v="16715"/>
    <s v="MATEMÁTICAS BÁSICAS"/>
    <n v="3"/>
  </r>
  <r>
    <x v="3"/>
    <n v="73619"/>
    <s v="INTRODUCCIÓN AL SUPPLY CHAIN"/>
    <n v="2"/>
  </r>
  <r>
    <x v="3"/>
    <n v="95108"/>
    <s v="FILOSOFÍA INSTITUCIONAL"/>
    <n v="2"/>
  </r>
  <r>
    <x v="3"/>
    <n v="96201"/>
    <s v="QUÍMICA GENERAL"/>
    <n v="3"/>
  </r>
  <r>
    <x v="3"/>
    <n v="16924"/>
    <s v="PROCESOS LOGÍSTICOS DE APROVISIONAMIENTO"/>
    <n v="2"/>
  </r>
  <r>
    <x v="3"/>
    <n v="73620"/>
    <s v="METODOLOGÍA DE LA INVESTIGACIÓN"/>
    <n v="2"/>
  </r>
  <r>
    <x v="3"/>
    <n v="73621"/>
    <s v="FUNDAMENTOS DE CONTABILIDAD"/>
    <n v="2"/>
  </r>
  <r>
    <x v="3"/>
    <n v="95109"/>
    <s v="ANTROPOLOGÍA"/>
    <n v="2"/>
  </r>
  <r>
    <x v="3"/>
    <n v="96110"/>
    <s v="CALCULO DIFERENCIAL"/>
    <n v="3"/>
  </r>
  <r>
    <x v="3"/>
    <n v="96111"/>
    <s v="ALGEBRA LINEAL"/>
    <n v="3"/>
  </r>
  <r>
    <x v="3"/>
    <n v="96112"/>
    <s v="FÍSICA MECÁNICA"/>
    <n v="3"/>
  </r>
  <r>
    <x v="3"/>
    <n v="16664"/>
    <s v="MICROECONOMÍA"/>
    <n v="2"/>
  </r>
  <r>
    <x v="3"/>
    <n v="16915"/>
    <s v="GESTIÓN DE CENTROS LOGÍSTICOS"/>
    <n v="2"/>
  </r>
  <r>
    <x v="3"/>
    <n v="73622"/>
    <s v="MÉTODOS Y TÉCNICAS DE INVESTIGACIÓN"/>
    <n v="2"/>
  </r>
  <r>
    <x v="3"/>
    <n v="73658"/>
    <s v="ELECTRICIDAD Y MAGNETISMO"/>
    <n v="3"/>
  </r>
  <r>
    <x v="3"/>
    <n v="95110"/>
    <s v="EPISTEMOLOGÍA"/>
    <n v="2"/>
  </r>
  <r>
    <x v="3"/>
    <n v="96113"/>
    <s v="CALCULO INTEGRAL"/>
    <n v="3"/>
  </r>
  <r>
    <x v="3"/>
    <n v="96303"/>
    <s v="LÓGICA DE PROGRAMACIÓN"/>
    <n v="3"/>
  </r>
  <r>
    <x v="3"/>
    <n v="16570"/>
    <s v="INGLÉS I"/>
    <n v="2"/>
  </r>
  <r>
    <x v="3"/>
    <n v="16675"/>
    <s v="MACROECONOMÍA"/>
    <n v="2"/>
  </r>
  <r>
    <x v="3"/>
    <n v="31038"/>
    <s v="ESTADÍSTICA I"/>
    <n v="2"/>
  </r>
  <r>
    <x v="3"/>
    <n v="73349"/>
    <s v="FUNDAMENTOS DE MERCADEO"/>
    <n v="2"/>
  </r>
  <r>
    <x v="3"/>
    <n v="73623"/>
    <s v="LOGÍSTICA DE SERVICIOS"/>
    <n v="2"/>
  </r>
  <r>
    <x v="3"/>
    <n v="95111"/>
    <s v="CULTURA TEOLÓGICA"/>
    <n v="2"/>
  </r>
  <r>
    <x v="3"/>
    <n v="96115"/>
    <s v="CALCULO VECTORIAL"/>
    <n v="3"/>
  </r>
  <r>
    <x v="3"/>
    <n v="16571"/>
    <s v="INGLÉS II"/>
    <n v="2"/>
  </r>
  <r>
    <x v="3"/>
    <n v="16695"/>
    <s v="TRABAJO COMUNITARIO I"/>
    <n v="2"/>
  </r>
  <r>
    <x v="3"/>
    <n v="16866"/>
    <s v="INVESTIGACIÓN DE OPERACIONES I"/>
    <n v="3"/>
  </r>
  <r>
    <x v="3"/>
    <n v="31039"/>
    <s v="ESTADÍSTICA II"/>
    <n v="2"/>
  </r>
  <r>
    <x v="3"/>
    <n v="73624"/>
    <s v="COSTOS Y PRESUPUESTOS"/>
    <n v="2"/>
  </r>
  <r>
    <x v="3"/>
    <n v="73625"/>
    <s v="PROYECTO I"/>
    <n v="3"/>
  </r>
  <r>
    <x v="3"/>
    <n v="96117"/>
    <s v="ECUACIONES DIFERENCIALES"/>
    <n v="3"/>
  </r>
  <r>
    <x v="3"/>
    <n v="16572"/>
    <s v="INGLÉS III"/>
    <n v="2"/>
  </r>
  <r>
    <x v="3"/>
    <n v="16868"/>
    <s v="INVESTIGACIÓN DE OPERACIONES II"/>
    <n v="3"/>
  </r>
  <r>
    <x v="3"/>
    <n v="16916"/>
    <s v="GESTIÓN LOGÍSTICA DE INVENTARIOS"/>
    <n v="3"/>
  </r>
  <r>
    <x v="3"/>
    <n v="73360"/>
    <s v="ANÁLISIS FINANCIERO"/>
    <n v="2"/>
  </r>
  <r>
    <x v="3"/>
    <n v="73626"/>
    <s v="PROFUNDIZACIÓN"/>
    <n v="3"/>
  </r>
  <r>
    <x v="3"/>
    <n v="73627"/>
    <s v="CÁTEDRA OPCIONAL COMPLEMENTARIA"/>
    <n v="3"/>
  </r>
  <r>
    <x v="3"/>
    <n v="16573"/>
    <s v="INGLÉS IV"/>
    <n v="2"/>
  </r>
  <r>
    <x v="3"/>
    <n v="73628"/>
    <s v="PLANEACIÓN DE VENTAS Y OPERACIONES"/>
    <n v="3"/>
  </r>
  <r>
    <x v="3"/>
    <n v="73629"/>
    <s v="GESTIÓN DE MEDIOS Y MODOS TRANSPORTE"/>
    <n v="2"/>
  </r>
  <r>
    <x v="3"/>
    <n v="73630"/>
    <s v="SIMULACIÓN DE OPERACIONES"/>
    <n v="3"/>
  </r>
  <r>
    <x v="3"/>
    <n v="73631"/>
    <s v="PROFUNDIZACIÓN"/>
    <n v="3"/>
  </r>
  <r>
    <x v="3"/>
    <n v="73632"/>
    <s v="CÁTEDRA OPCIONAL COMPLEMENTARIA"/>
    <n v="3"/>
  </r>
  <r>
    <x v="3"/>
    <n v="73633"/>
    <s v="INGLÉS V"/>
    <n v="2"/>
  </r>
  <r>
    <x v="3"/>
    <n v="73634"/>
    <s v="PLANEACIÓN Y CONTROL DE LA PRODUCCIÓN"/>
    <n v="3"/>
  </r>
  <r>
    <x v="3"/>
    <n v="73635"/>
    <s v="OPCIONAL INSTITUCIONAL"/>
    <n v="3"/>
  </r>
  <r>
    <x v="3"/>
    <n v="73636"/>
    <s v="PROFUNDIZACIÓN"/>
    <n v="3"/>
  </r>
  <r>
    <x v="3"/>
    <n v="73637"/>
    <s v="CÁTEDRA OPCIONAL COMPLEMENTARIA"/>
    <n v="3"/>
  </r>
  <r>
    <x v="3"/>
    <n v="95112"/>
    <s v="FILOSOFÍA POLÍTICA"/>
    <n v="2"/>
  </r>
  <r>
    <x v="3"/>
    <n v="16698"/>
    <s v="TRABAJO COMUNITARIO II"/>
    <n v="2"/>
  </r>
  <r>
    <x v="3"/>
    <n v="16937"/>
    <s v="ASPECTOS JURÍDICOS LOGÍSTICOS"/>
    <n v="2"/>
  </r>
  <r>
    <x v="3"/>
    <n v="73638"/>
    <s v="INGLÉS VI"/>
    <n v="2"/>
  </r>
  <r>
    <x v="3"/>
    <n v="73639"/>
    <s v="GERENCIA DE REDES LOGÍSTICAS"/>
    <n v="2"/>
  </r>
  <r>
    <x v="3"/>
    <n v="73640"/>
    <s v="PROCESOS LOGÍSTICOS DE RETORNO"/>
    <n v="2"/>
  </r>
  <r>
    <x v="3"/>
    <n v="73641"/>
    <s v="PROFUNDIZACIÓN"/>
    <n v="3"/>
  </r>
  <r>
    <x v="3"/>
    <n v="73642"/>
    <s v="CÁTEDRA OPCIONAL COMPLEMENTARIA"/>
    <n v="3"/>
  </r>
  <r>
    <x v="3"/>
    <n v="73643"/>
    <s v="INTERNATIONAL BUSINESS"/>
    <n v="2"/>
  </r>
  <r>
    <x v="3"/>
    <n v="73644"/>
    <s v="DIRECCIÓN DE OPERACIONES"/>
    <n v="2"/>
  </r>
  <r>
    <x v="3"/>
    <n v="73645"/>
    <s v="PROFUNDIZACIÓN"/>
    <n v="3"/>
  </r>
  <r>
    <x v="3"/>
    <n v="73646"/>
    <s v="PROYECTO II"/>
    <n v="4"/>
  </r>
  <r>
    <x v="3"/>
    <n v="73647"/>
    <s v="CÁTEDRA OPCIONAL COMPLEMENTARIA"/>
    <n v="3"/>
  </r>
  <r>
    <x v="3"/>
    <n v="95113"/>
    <s v="ÉTICA"/>
    <n v="2"/>
  </r>
  <r>
    <x v="4"/>
    <n v="16724"/>
    <s v="MATEMÁTICA BÁSICA"/>
    <n v="2"/>
  </r>
  <r>
    <x v="4"/>
    <n v="16725"/>
    <s v="BIOLOGÍA GENERAL"/>
    <n v="2"/>
  </r>
  <r>
    <x v="4"/>
    <n v="16726"/>
    <s v="QUÍMICA"/>
    <n v="2"/>
  </r>
  <r>
    <x v="4"/>
    <n v="73486"/>
    <s v="INTRODUCCIÓN A LA ZOOTECNIA"/>
    <n v="3"/>
  </r>
  <r>
    <x v="4"/>
    <n v="73207"/>
    <s v="METODOLOGÍA DE LA EDUCACIÓN A DISTANCIA"/>
    <n v="3"/>
  </r>
  <r>
    <x v="4"/>
    <n v="73487"/>
    <s v="COMUNICACIÓN ORAL Y ESCRITA"/>
    <n v="2"/>
  </r>
  <r>
    <x v="4"/>
    <n v="16323"/>
    <s v="FILOSOFÍA INSTITUCIONAL"/>
    <n v="2"/>
  </r>
  <r>
    <x v="4"/>
    <n v="73488"/>
    <s v="MATEMÁTICAS 2"/>
    <n v="2"/>
  </r>
  <r>
    <x v="4"/>
    <n v="16729"/>
    <s v="BIOQUÍMICA"/>
    <n v="2"/>
  </r>
  <r>
    <x v="4"/>
    <n v="16730"/>
    <s v="AGROECOLOGÍA"/>
    <n v="2"/>
  </r>
  <r>
    <x v="4"/>
    <n v="16728"/>
    <s v="SUELOS Y FERTILIZANTES"/>
    <n v="3"/>
  </r>
  <r>
    <x v="4"/>
    <n v="73489"/>
    <s v="ANATOMÍA ANIMAL"/>
    <n v="3"/>
  </r>
  <r>
    <x v="4"/>
    <n v="16324"/>
    <s v="ANTROPOLOGÍA"/>
    <n v="2"/>
  </r>
  <r>
    <x v="4"/>
    <n v="16735"/>
    <s v="GENÉTICA"/>
    <n v="3"/>
  </r>
  <r>
    <x v="4"/>
    <n v="16734"/>
    <s v="PASTOS Y FORRAJES"/>
    <n v="3"/>
  </r>
  <r>
    <x v="4"/>
    <n v="16733"/>
    <s v="NUTRICIÓN ANIMAL I"/>
    <n v="3"/>
  </r>
  <r>
    <x v="4"/>
    <n v="73531"/>
    <s v="FISIOLOGÍA ANIMAL I"/>
    <n v="3"/>
  </r>
  <r>
    <x v="4"/>
    <n v="16731"/>
    <s v="BIOESTADÍSTICA"/>
    <n v="2"/>
  </r>
  <r>
    <x v="4"/>
    <n v="16325"/>
    <s v="EPISTEMOLOGÍA"/>
    <n v="2"/>
  </r>
  <r>
    <x v="4"/>
    <n v="16539"/>
    <s v="ELECTIVA I"/>
    <n v="3"/>
  </r>
  <r>
    <x v="4"/>
    <n v="16741"/>
    <s v="MICROBIOLOGÍA"/>
    <n v="2"/>
  </r>
  <r>
    <x v="4"/>
    <n v="79490"/>
    <s v="EXTENSIÓN Y DESARROLLO RURAL"/>
    <n v="2"/>
  </r>
  <r>
    <x v="4"/>
    <n v="16737"/>
    <s v="NUTRICIÓN ANIMAL II"/>
    <n v="3"/>
  </r>
  <r>
    <x v="4"/>
    <n v="73491"/>
    <s v="FISIOLOGÍA DE LA PRODUCCIÓN"/>
    <n v="3"/>
  </r>
  <r>
    <x v="4"/>
    <n v="16738"/>
    <s v="DISEÑO EXPERIMENTAL"/>
    <n v="2"/>
  </r>
  <r>
    <x v="4"/>
    <n v="16327"/>
    <s v="CULTURA TEOLÓGICA"/>
    <n v="2"/>
  </r>
  <r>
    <x v="4"/>
    <n v="16540"/>
    <s v="ELECTIVA II"/>
    <n v="3"/>
  </r>
  <r>
    <x v="4"/>
    <n v="73492"/>
    <s v="AGROCLIMATOLOGÍA"/>
    <n v="2"/>
  </r>
  <r>
    <x v="4"/>
    <n v="73493"/>
    <s v="EXPERIENCIA ZOOTÉCNICA"/>
    <n v="2"/>
  </r>
  <r>
    <x v="4"/>
    <n v="16740"/>
    <s v="ALIMENTACIÓN ANIMAL"/>
    <n v="2"/>
  </r>
  <r>
    <x v="4"/>
    <n v="73494"/>
    <s v="SALUD EN LA PRODUCCIÓN ANIMAL"/>
    <n v="3"/>
  </r>
  <r>
    <x v="4"/>
    <n v="73495"/>
    <s v="ENFOQUE SISTÉMICO DE LA PRODUCCIÓN PECUARIA"/>
    <n v="3"/>
  </r>
  <r>
    <x v="4"/>
    <n v="16719"/>
    <s v="FUNDAMENTOS DE ADMINISTRACIÓN"/>
    <n v="2"/>
  </r>
  <r>
    <x v="4"/>
    <n v="16720"/>
    <s v="FUNDAMENTOS DE MERCADEO"/>
    <n v="2"/>
  </r>
  <r>
    <x v="4"/>
    <n v="16588"/>
    <s v="TRABAJO COMUNITARIO"/>
    <n v="2"/>
  </r>
  <r>
    <x v="4"/>
    <n v="16742"/>
    <s v="MEJORAMIENTO ANIMAL"/>
    <n v="3"/>
  </r>
  <r>
    <x v="4"/>
    <n v="73496"/>
    <s v="REPRODUCCIÓN ANIMAL I"/>
    <n v="3"/>
  </r>
  <r>
    <x v="4"/>
    <n v="73497"/>
    <s v="SISTEMAS DE GESTIÓN DE CALIDAD"/>
    <n v="2"/>
  </r>
  <r>
    <x v="4"/>
    <n v="16739"/>
    <s v="ADMINISTRACIÓN AGROPECUARIA"/>
    <n v="2"/>
  </r>
  <r>
    <x v="4"/>
    <n v="16745"/>
    <s v="MERCADEO AGROPECUARIO"/>
    <n v="2"/>
  </r>
  <r>
    <x v="4"/>
    <n v="73498"/>
    <s v="FILOSOFÍA POLÍTICA"/>
    <n v="2"/>
  </r>
  <r>
    <x v="4"/>
    <n v="73499"/>
    <s v="REPRODUCCIÓN ANIMAL II"/>
    <n v="3"/>
  </r>
  <r>
    <x v="4"/>
    <n v="16338"/>
    <s v="SISTEMA PRODUCCIÓN BOVINOS DE LECHE"/>
    <n v="2"/>
  </r>
  <r>
    <x v="4"/>
    <n v="16339"/>
    <s v="SISTEMA PRODUCCIÓN BOVINOS DE CARNE"/>
    <n v="2"/>
  </r>
  <r>
    <x v="4"/>
    <n v="16748"/>
    <s v="ECONOMÍA AGRARIA"/>
    <n v="2"/>
  </r>
  <r>
    <x v="4"/>
    <n v="16326"/>
    <s v="ÉTICA"/>
    <n v="2"/>
  </r>
  <r>
    <x v="4"/>
    <n v="16541"/>
    <s v="ELECTIVA III"/>
    <n v="3"/>
  </r>
  <r>
    <x v="4"/>
    <n v="73500"/>
    <s v="PROFUNDIZACIÓN I"/>
    <n v="3"/>
  </r>
  <r>
    <x v="4"/>
    <n v="73501"/>
    <s v="SISTEMA PRODUCCIÓN PEQUEÑOS RUMIANTES"/>
    <n v="3"/>
  </r>
  <r>
    <x v="4"/>
    <n v="16341"/>
    <s v="SISTEMA PRODUCCIÓN AVES"/>
    <n v="3"/>
  </r>
  <r>
    <x v="4"/>
    <n v="73502"/>
    <s v="PLAN Y EVALUACIÓN DE PROYECTOS AGROPECUARIOS"/>
    <n v="2"/>
  </r>
  <r>
    <x v="4"/>
    <n v="73503"/>
    <s v="METODOLOGÍA DE LA INVESTIGACIÓN EN LAS CIENCIAS PECUARIAS"/>
    <n v="2"/>
  </r>
  <r>
    <x v="4"/>
    <n v="16542"/>
    <s v="ELECTIVA IV"/>
    <n v="3"/>
  </r>
  <r>
    <x v="4"/>
    <n v="73504"/>
    <s v="PROFUNDIZACIÓN II"/>
    <n v="3"/>
  </r>
  <r>
    <x v="4"/>
    <n v="16395"/>
    <s v="CATEDRA OPCIONAL TECNOLOGÍA Y BIOÉTICA"/>
    <n v="3"/>
  </r>
  <r>
    <x v="4"/>
    <n v="73505"/>
    <s v="BIOÉTICA"/>
    <n v="2"/>
  </r>
  <r>
    <x v="4"/>
    <n v="73506"/>
    <s v="HERRAMIENTAS TECNOLÓGICAS PARA LA PRODUCCIÓN PECUARIA"/>
    <n v="2"/>
  </r>
  <r>
    <x v="4"/>
    <n v="73507"/>
    <s v="ETOLOGÍA Y BIENESTAR ANIMAL"/>
    <n v="2"/>
  </r>
  <r>
    <x v="4"/>
    <n v="16340"/>
    <s v="SISTEMA PRODUCCIÓN PORCINOS"/>
    <n v="3"/>
  </r>
  <r>
    <x v="4"/>
    <n v="16723"/>
    <s v="LEGISLACIÓN Y POLÍTICA AGRARIA"/>
    <n v="2"/>
  </r>
  <r>
    <x v="4"/>
    <n v="73508"/>
    <s v="PROFUNDIZACIÓN III"/>
    <n v="3"/>
  </r>
  <r>
    <x v="4"/>
    <n v="73509"/>
    <s v="PROFUNDIZACIÓN IV"/>
    <n v="3"/>
  </r>
  <r>
    <x v="4"/>
    <n v="16752"/>
    <s v="TECNOLOGÍA DE CÁRNICOS"/>
    <n v="2"/>
  </r>
  <r>
    <x v="4"/>
    <n v="16753"/>
    <s v="TECNOLOGÍA DE LÁCTEOS"/>
    <n v="2"/>
  </r>
  <r>
    <x v="4"/>
    <n v="73510"/>
    <s v="OPCIÓN DE GRADO: PRACTICA PROFESIONAL- CURSO DE ACTUALIZACIÓN - PROFUNDIZACIÓN - SEMESTRE DE POSGRADO"/>
    <n v="2"/>
  </r>
  <r>
    <x v="4"/>
    <n v="73511"/>
    <s v="ELECTIVA V"/>
    <n v="3"/>
  </r>
  <r>
    <x v="4"/>
    <n v="73512"/>
    <s v="PROFUNDIZACIÓN V"/>
    <n v="3"/>
  </r>
  <r>
    <x v="4"/>
    <n v="73513"/>
    <s v="PROFUNDIZACIÓN VI"/>
    <n v="3"/>
  </r>
  <r>
    <x v="5"/>
    <n v="30377"/>
    <s v="MATEMÁTICA I"/>
    <n v="2"/>
  </r>
  <r>
    <x v="5"/>
    <n v="30521"/>
    <s v="INGLÉS I"/>
    <n v="2"/>
  </r>
  <r>
    <x v="5"/>
    <n v="30378"/>
    <s v="COMUNICACIÓN ORAL Y ESCRITA"/>
    <n v="2"/>
  </r>
  <r>
    <x v="5"/>
    <n v="30527"/>
    <s v="FILOSOFÍA INSTITUCIONAL"/>
    <n v="2"/>
  </r>
  <r>
    <x v="5"/>
    <n v="30379"/>
    <s v="PENSAMIENTO ADMINISTRATIVO"/>
    <n v="3"/>
  </r>
  <r>
    <x v="5"/>
    <n v="30380"/>
    <s v="FUNDAMENTOS DE ECONOMÍA"/>
    <n v="3"/>
  </r>
  <r>
    <x v="5"/>
    <n v="30381"/>
    <s v="CONTABILIDAD PARA LAS ORGANIZACIONES"/>
    <n v="3"/>
  </r>
  <r>
    <x v="5"/>
    <n v="30382"/>
    <s v="MATEMÁTICAS II"/>
    <n v="2"/>
  </r>
  <r>
    <x v="5"/>
    <n v="30522"/>
    <s v="INGLÉS II"/>
    <n v="2"/>
  </r>
  <r>
    <x v="5"/>
    <n v="30528"/>
    <s v="ANTROPOLOGÍA"/>
    <n v="2"/>
  </r>
  <r>
    <x v="5"/>
    <n v="30383"/>
    <s v="TEORÍA DE LAS ORGANIZACIONES"/>
    <n v="3"/>
  </r>
  <r>
    <x v="5"/>
    <n v="30384"/>
    <s v="MICROECONOMÍA"/>
    <n v="2"/>
  </r>
  <r>
    <x v="5"/>
    <n v="30385"/>
    <s v="RESPONSABILIDAD SOCIAL ORGANIZACIONAL"/>
    <n v="3"/>
  </r>
  <r>
    <x v="5"/>
    <n v="30386"/>
    <s v="CÁTEDRA OPCIONAL INSTITUCIONAL"/>
    <n v="3"/>
  </r>
  <r>
    <x v="5"/>
    <n v="30387"/>
    <s v="ESTADÍSTICA I"/>
    <n v="2"/>
  </r>
  <r>
    <x v="5"/>
    <n v="30523"/>
    <s v="INGLÉS III"/>
    <n v="2"/>
  </r>
  <r>
    <x v="5"/>
    <n v="30529"/>
    <s v="EPISTEMOLOGÍA"/>
    <n v="2"/>
  </r>
  <r>
    <x v="5"/>
    <n v="30388"/>
    <s v="NEGOCIOS INCLUSIVOS Y VALOR COMPARTIDO"/>
    <n v="3"/>
  </r>
  <r>
    <x v="5"/>
    <n v="30389"/>
    <s v="CREATIVIDAD E INNOVACIÓN ORGANIZACIONAL"/>
    <n v="3"/>
  </r>
  <r>
    <x v="5"/>
    <n v="30390"/>
    <s v="COSTOS Y PRESUPUESTOS"/>
    <n v="3"/>
  </r>
  <r>
    <x v="5"/>
    <n v="30391"/>
    <s v="DERECHO CONSTITUCIONAL Y ADMINISTRATIVO"/>
    <n v="2"/>
  </r>
  <r>
    <x v="5"/>
    <n v="30392"/>
    <s v="ESTADÍSTICA II"/>
    <n v="2"/>
  </r>
  <r>
    <x v="5"/>
    <n v="30524"/>
    <s v="INGLÉS IV"/>
    <n v="2"/>
  </r>
  <r>
    <x v="5"/>
    <n v="30530"/>
    <s v="CULTURA TEOLÓGICA"/>
    <n v="2"/>
  </r>
  <r>
    <x v="5"/>
    <n v="30393"/>
    <s v="GESTIÓN DEL CONOCIMIENTO Y APRENDIZAJE ORGANIZACIONAL"/>
    <n v="3"/>
  </r>
  <r>
    <x v="5"/>
    <n v="30394"/>
    <s v="MACROECONOMÍA"/>
    <n v="2"/>
  </r>
  <r>
    <x v="5"/>
    <n v="30395"/>
    <s v="ANÁLISIS FINANCIERO"/>
    <n v="3"/>
  </r>
  <r>
    <x v="5"/>
    <n v="30396"/>
    <s v="FUNDAMENTO DE MERCADEO"/>
    <n v="3"/>
  </r>
  <r>
    <x v="5"/>
    <n v="30524"/>
    <s v="INGLÉS V"/>
    <n v="2"/>
  </r>
  <r>
    <x v="5"/>
    <n v="30531"/>
    <s v="FILOSOFÍA POLÍTICA"/>
    <n v="2"/>
  </r>
  <r>
    <x v="5"/>
    <n v="30501"/>
    <s v="ESTRATEGIA"/>
    <n v="3"/>
  </r>
  <r>
    <x v="5"/>
    <n v="30502"/>
    <s v="INGENIERÍA ECONÓMICA"/>
    <n v="3"/>
  </r>
  <r>
    <x v="5"/>
    <n v="30503"/>
    <s v="INVESTIGACIÓN DE OPERACIONES"/>
    <n v="3"/>
  </r>
  <r>
    <x v="5"/>
    <n v="30504"/>
    <s v="DERECHO COMERCIAL Y TRIBUTARIO"/>
    <n v="2"/>
  </r>
  <r>
    <x v="5"/>
    <n v="30505"/>
    <s v="INVESTIGACIÓN DE MERCADOS"/>
    <n v="2"/>
  </r>
  <r>
    <x v="5"/>
    <n v="30526"/>
    <s v="INGLÉS VI"/>
    <n v="2"/>
  </r>
  <r>
    <x v="5"/>
    <n v="30532"/>
    <s v="ÉTICA"/>
    <n v="2"/>
  </r>
  <r>
    <x v="5"/>
    <n v="30506"/>
    <s v="PRÁCTICA DE RESPONSABILIDAD SOCIAL UNIVERSITARIA"/>
    <n v="3"/>
  </r>
  <r>
    <x v="5"/>
    <n v="30507"/>
    <s v="SISTEMAS DE INFORMACIÓN GERENCIAL (VIRTUAL)"/>
    <n v="2"/>
  </r>
  <r>
    <x v="5"/>
    <n v="30508"/>
    <s v="CREACIÓN DE EMPRESAS"/>
    <n v="3"/>
  </r>
  <r>
    <x v="5"/>
    <n v="30509"/>
    <s v="HABILIDADES GERENCIALES"/>
    <n v="3"/>
  </r>
  <r>
    <x v="5"/>
    <n v="30510"/>
    <s v="PROFUNDIZACIÓN I"/>
    <n v="3"/>
  </r>
  <r>
    <x v="5"/>
    <n v="30511"/>
    <s v="EVALUACIÓN INTEGRAL DE PROYECTOS"/>
    <n v="3"/>
  </r>
  <r>
    <x v="5"/>
    <n v="30512"/>
    <s v="NEGOCIACIÓN INTERNACIONAL"/>
    <n v="2"/>
  </r>
  <r>
    <x v="5"/>
    <n v="30513"/>
    <s v="ADMINISTRACIÓN DE LA PRODUCCIÓN"/>
    <n v="2"/>
  </r>
  <r>
    <x v="5"/>
    <n v="30514"/>
    <s v="DERECHO LABORAL Y SEGURIDAD EN EL TRABAJO"/>
    <n v="2"/>
  </r>
  <r>
    <x v="5"/>
    <n v="30515"/>
    <s v="GERENCIA DEL TALENTO HUMANO"/>
    <n v="3"/>
  </r>
  <r>
    <x v="5"/>
    <n v="30516"/>
    <s v="OPCIONAL COMPLEMENTARIA"/>
    <n v="3"/>
  </r>
  <r>
    <x v="5"/>
    <n v="30517"/>
    <s v="PROFUNDIZACIÓN II"/>
    <n v="3"/>
  </r>
  <r>
    <x v="5"/>
    <n v="30518"/>
    <s v="PRÁCTICA PROFESIONAL"/>
    <n v="10"/>
  </r>
  <r>
    <x v="5"/>
    <n v="30519"/>
    <s v="PROFUNDIZACIÓN III"/>
    <n v="3"/>
  </r>
  <r>
    <x v="5"/>
    <n v="30520"/>
    <s v="OPCIÓN DE GRADO"/>
    <n v="4"/>
  </r>
  <r>
    <x v="6"/>
    <n v="96110"/>
    <s v="CÁLCULO DIFERENCIAL"/>
    <n v="2"/>
  </r>
  <r>
    <x v="6"/>
    <n v="96201"/>
    <s v="QUÍMICA GENERAL"/>
    <n v="3"/>
  </r>
  <r>
    <x v="6"/>
    <n v="10103"/>
    <s v="INTRODUCCIÓN A LA INGENIERÍA"/>
    <n v="3"/>
  </r>
  <r>
    <x v="6"/>
    <n v="30103"/>
    <s v="DIBUJO TÉCNICO Y DESCRIPTIVA"/>
    <n v="4"/>
  </r>
  <r>
    <x v="6"/>
    <n v="95108"/>
    <s v="FILOSOFÍA INSTITUCIONAL"/>
    <n v="2"/>
  </r>
  <r>
    <x v="6"/>
    <n v="95213"/>
    <s v="INGLÉS 1"/>
    <n v="1"/>
  </r>
  <r>
    <x v="6"/>
    <n v="96111"/>
    <s v="ÁLGEBRA LINEAL"/>
    <n v="3"/>
  </r>
  <r>
    <x v="6"/>
    <n v="96112"/>
    <s v="FÍSICA MECÁNICA"/>
    <n v="3"/>
  </r>
  <r>
    <x v="6"/>
    <n v="96113"/>
    <s v="CÁLCULO INTEGRAL"/>
    <n v="3"/>
  </r>
  <r>
    <x v="6"/>
    <n v="10107"/>
    <s v="TOPOGRAFÍA Y FOTOGRAMETRÍA"/>
    <n v="4"/>
  </r>
  <r>
    <x v="6"/>
    <n v="95109"/>
    <s v="ANTROPOLOGÍA"/>
    <n v="2"/>
  </r>
  <r>
    <x v="6"/>
    <n v="95214"/>
    <s v="INGLÉS 2"/>
    <n v="1"/>
  </r>
  <r>
    <x v="6"/>
    <n v="96115"/>
    <s v="CÁLCULO VECTORIAL"/>
    <n v="3"/>
  </r>
  <r>
    <x v="6"/>
    <n v="96116"/>
    <s v="FÍSICA DE MATERIALES"/>
    <n v="3"/>
  </r>
  <r>
    <x v="6"/>
    <n v="96303"/>
    <s v="LÓGICA DE PROGRAMACIÓN"/>
    <n v="3"/>
  </r>
  <r>
    <x v="6"/>
    <n v="10102"/>
    <s v="TALLER ESTUDIO DE INVESTIGACIÓN"/>
    <n v="2"/>
  </r>
  <r>
    <x v="6"/>
    <n v="10106"/>
    <s v="ESTÁTICA"/>
    <n v="3"/>
  </r>
  <r>
    <x v="6"/>
    <n v="95316"/>
    <s v="INGLÉS 3"/>
    <n v="1"/>
  </r>
  <r>
    <x v="6"/>
    <n v="96114"/>
    <s v="FÍSICA ELÉCTRICA"/>
    <n v="3"/>
  </r>
  <r>
    <x v="6"/>
    <n v="96117"/>
    <s v="ECUACIONES DIFERENCIALES_x000a_"/>
    <n v="2"/>
  </r>
  <r>
    <x v="6"/>
    <n v="10119"/>
    <s v="PROBABILIDAD Y ESTADÍSTICA"/>
    <n v="3"/>
  </r>
  <r>
    <x v="6"/>
    <n v="10116"/>
    <s v="MECÁNICA DE MATERIALES_x000a_"/>
    <n v="3"/>
  </r>
  <r>
    <x v="6"/>
    <n v="10121"/>
    <s v="GEOLOGÍA"/>
    <n v="3"/>
  </r>
  <r>
    <x v="6"/>
    <n v="95405"/>
    <s v="INGLÉS 4"/>
    <n v="1"/>
  </r>
  <r>
    <x v="6"/>
    <n v="10115"/>
    <s v="OPERACIONAL Y NUMÉRICOS_x000a_"/>
    <n v="3"/>
  </r>
  <r>
    <x v="6"/>
    <n v="10118"/>
    <s v="MECÁNICA DE FLUIDOS_x000a_"/>
    <n v="3"/>
  </r>
  <r>
    <x v="6"/>
    <n v="10137"/>
    <s v="ANÁLISIS ESTRUCTURAL"/>
    <n v="4"/>
  </r>
  <r>
    <x v="6"/>
    <n v="10126"/>
    <s v="VÍAS_x000a_VÍAS_x000a_"/>
    <n v="3"/>
  </r>
  <r>
    <x v="6"/>
    <n v="9511"/>
    <s v="CULTURA TEOLÓGICA"/>
    <n v="2"/>
  </r>
  <r>
    <x v="6"/>
    <n v="95219"/>
    <s v="INGLÉS 5"/>
    <n v="1"/>
  </r>
  <r>
    <x v="6"/>
    <n v="10125"/>
    <s v="CONCRETO REFORZADO_x000a_TUBERÍAS Y CANALES"/>
    <n v="4"/>
  </r>
  <r>
    <x v="6"/>
    <n v="10123"/>
    <s v="TUBERÍAS Y CANALES"/>
    <n v="3"/>
  </r>
  <r>
    <x v="6"/>
    <n v="10124"/>
    <s v="HIDROLOGÍA"/>
    <n v="3"/>
  </r>
  <r>
    <x v="6"/>
    <n v="10127"/>
    <s v="MECÁNICA DE SUELOS"/>
    <n v="3"/>
  </r>
  <r>
    <x v="6"/>
    <n v="10117"/>
    <s v="GEOMÁTICA"/>
    <n v="3"/>
  </r>
  <r>
    <x v="6"/>
    <n v="10136"/>
    <s v="LIDERAZGO Y COMUNICACIÓN"/>
    <n v="2"/>
  </r>
  <r>
    <x v="6"/>
    <n v="10133"/>
    <s v="CONCRETO PRESFORZADO_x000a_CONCRETO PRESFORZADO_x000a_"/>
    <n v="3"/>
  </r>
  <r>
    <x v="6"/>
    <n v="10132"/>
    <s v="ACUEDUCTOS Y ALCANTARILLADOS_x000a_"/>
    <n v="4"/>
  </r>
  <r>
    <x v="6"/>
    <n v="10134"/>
    <s v="FUNDACIONES_x000a_"/>
    <n v="3"/>
  </r>
  <r>
    <x v="6"/>
    <n v="10135"/>
    <s v="MAQUINARIA Y EQUIPO"/>
    <n v="3"/>
  </r>
  <r>
    <x v="6"/>
    <n v="10136"/>
    <s v="ECONOMÍA Y CONTABILIDAD"/>
    <n v="2"/>
  </r>
  <r>
    <x v="6"/>
    <n v="95112"/>
    <s v="FILOSOFÍA POLÍTICA_x000a_"/>
    <n v="2"/>
  </r>
  <r>
    <x v="6"/>
    <n v="10141"/>
    <s v="TRATAMIENTO DE AGUAS_x000a_"/>
    <n v="3"/>
  </r>
  <r>
    <x v="6"/>
    <n v="10142"/>
    <s v="GESTIÓN AMBIENTAL_x000a_"/>
    <n v="3"/>
  </r>
  <r>
    <x v="6"/>
    <n v="10143"/>
    <s v="PAVIMENTOS_x000a_"/>
    <n v="3"/>
  </r>
  <r>
    <x v="6"/>
    <n v="10144"/>
    <s v="CONSTRUCCIÓN Y COSTOS_x000a_"/>
    <n v="3"/>
  </r>
  <r>
    <x v="6"/>
    <n v="10145"/>
    <s v="FORMULACIÓN Y EVALUACIÓN DE PROYECTOS_x000a_"/>
    <n v="2"/>
  </r>
  <r>
    <x v="6"/>
    <n v="10197"/>
    <s v="SEMINARIO Y OPCIÓN DE GRADO 1"/>
    <n v="4"/>
  </r>
  <r>
    <x v="6"/>
    <n v="10148"/>
    <s v="COMPONENTE DE ÉNFASIS 1_x000a_"/>
    <n v="3"/>
  </r>
  <r>
    <x v="6"/>
    <n v="10149"/>
    <s v="COMPONENTE DE ÉNFASIS 2_x000a_"/>
    <n v="3"/>
  </r>
  <r>
    <x v="6"/>
    <n v="10150"/>
    <s v="COMPONENTE DE ÉNFASIS 3"/>
    <n v="3"/>
  </r>
  <r>
    <x v="6"/>
    <n v="10198"/>
    <s v="SEMINARIO Y OPCIÓN DE GRADO 2_x000a_"/>
    <n v="3"/>
  </r>
  <r>
    <x v="6"/>
    <n v="95110"/>
    <s v="EPISTEMOLOGÍA_x000a_"/>
    <n v="2"/>
  </r>
  <r>
    <x v="6"/>
    <n v="10146"/>
    <s v="ELECTIVA DE UNIVERSIDAD 1_x000a_"/>
    <n v="2"/>
  </r>
  <r>
    <x v="6"/>
    <n v="10152"/>
    <s v="COMPONENTE DE ÉNFASIS 4_x000a_"/>
    <n v="3"/>
  </r>
  <r>
    <x v="6"/>
    <n v="95113"/>
    <s v="ÉTICA"/>
    <n v="2"/>
  </r>
  <r>
    <x v="6"/>
    <n v="95137"/>
    <s v="CÁTEDRAS OPCIONALES_x000a_"/>
    <n v="3"/>
  </r>
  <r>
    <x v="6"/>
    <n v="10153"/>
    <s v="COMPONENTE DE ÉNFASIS 5 _x000a_"/>
    <n v="3"/>
  </r>
  <r>
    <x v="7"/>
    <n v="15135"/>
    <s v="COMUNICACIÓN ORAL Y ESCRITA"/>
    <n v="3"/>
  </r>
  <r>
    <x v="7"/>
    <n v="17847"/>
    <s v="MODELOS PEDAGÓGICOS (PRÁCTICA DE OBSERVACIÓN I)"/>
    <n v="3"/>
  </r>
  <r>
    <x v="7"/>
    <m/>
    <s v="ANTROPOLOGÍA"/>
    <n v="4"/>
  </r>
  <r>
    <x v="7"/>
    <n v="17901"/>
    <s v="HISTORIA Y CONCEPCIONES DE INFANCIA"/>
    <n v="3"/>
  </r>
  <r>
    <x v="7"/>
    <n v="95109"/>
    <s v="SEMINARIO DE FILOSOFÍA INSTITUCIONAL"/>
    <n v="2"/>
  </r>
  <r>
    <x v="7"/>
    <n v="17882"/>
    <s v="AMBIENTES VIRTUALES DE APRENDIZAJE (PRÁCTICA FORMATIVA I)"/>
    <n v="3"/>
  </r>
  <r>
    <x v="7"/>
    <n v="17848"/>
    <s v="PROCESOS DEL APRENDIZAJE (PRÁCTICA DE OBSERVACIÓN II)"/>
    <n v="3"/>
  </r>
  <r>
    <x v="7"/>
    <n v="17896"/>
    <s v="EXPLORACIÓN DEL ENTORNO BIOLÓGICO"/>
    <n v="3"/>
  </r>
  <r>
    <x v="7"/>
    <n v="17002"/>
    <s v="INGLÉS I"/>
    <n v="2"/>
  </r>
  <r>
    <x v="7"/>
    <n v="17883"/>
    <s v="AMBIENTES VIRTUALES DE APRENDIZAJE (PRÁCTICA FORMATIVA II)"/>
    <n v="3"/>
  </r>
  <r>
    <x v="7"/>
    <n v="95110"/>
    <s v="EPISTEMOLOGÍA"/>
    <n v="2"/>
  </r>
  <r>
    <x v="7"/>
    <n v="17822"/>
    <s v="PENSAMIENTO LÓGICO"/>
    <n v="2"/>
  </r>
  <r>
    <x v="7"/>
    <n v="17878"/>
    <s v="CURRÍCULO Y DIDÁCTICA (PRÁCTICA FORMATIVA III)"/>
    <n v="4"/>
  </r>
  <r>
    <x v="7"/>
    <n v="17897"/>
    <s v="EXPLORACIÓN DEL ENTORNO COGNITIVO"/>
    <n v="3"/>
  </r>
  <r>
    <x v="7"/>
    <n v="17861"/>
    <s v="FUNDAMENTOS Y ENFOQUES DE LA INVESTIGACIÓN"/>
    <n v="3"/>
  </r>
  <r>
    <x v="7"/>
    <n v="17007"/>
    <s v="INGLÉS II"/>
    <n v="2"/>
  </r>
  <r>
    <x v="7"/>
    <n v="95111"/>
    <s v="CULTURA TEOLÓGICA"/>
    <n v="2"/>
  </r>
  <r>
    <x v="7"/>
    <m/>
    <s v="ELECTIVA I"/>
    <n v="3"/>
  </r>
  <r>
    <x v="7"/>
    <n v="17879"/>
    <s v="EVALUACIÓN EN EL CONTEXTO ESCOLAR (PRÁCTICA FORMATIVA IV)"/>
    <n v="4"/>
  </r>
  <r>
    <x v="7"/>
    <n v="17898"/>
    <s v="EXPLORACIÓN DE LAS HABILIDADES BÁSICAS PARA EL APRENDIZAJE"/>
    <n v="3"/>
  </r>
  <r>
    <x v="7"/>
    <n v="17862"/>
    <s v="INVESTIGACIÓN EN EDUCACIÓN Y PEDAGOGÍA"/>
    <n v="3"/>
  </r>
  <r>
    <x v="7"/>
    <n v="17009"/>
    <s v="INGLÉS III"/>
    <n v="2"/>
  </r>
  <r>
    <x v="7"/>
    <n v="17868"/>
    <s v="FILOSOFÍA POLÍTICA (CULTURA DE PAZ)"/>
    <n v="2"/>
  </r>
  <r>
    <x v="7"/>
    <m/>
    <s v="ELECTIVA II"/>
    <n v="3"/>
  </r>
  <r>
    <x v="7"/>
    <n v="17880"/>
    <s v="POLÍTICA EDUCATIVA, GESTIÓN Y ADMINISTRACIÓN (PRÁCTICA FORMATIVA V)"/>
    <n v="4"/>
  </r>
  <r>
    <x v="7"/>
    <n v="17893"/>
    <s v="LÚDICA Y VIVENCIA CORPORAL"/>
    <n v="2"/>
  </r>
  <r>
    <x v="7"/>
    <n v="17902"/>
    <s v="REALIDADES Y CONTEXTOS DE LA INFANCIA"/>
    <n v="3"/>
  </r>
  <r>
    <x v="7"/>
    <n v="17604"/>
    <s v="INGLÉS IV"/>
    <n v="2"/>
  </r>
  <r>
    <x v="7"/>
    <n v="95113"/>
    <s v="ÉTICA"/>
    <n v="2"/>
  </r>
  <r>
    <x v="7"/>
    <n v="17008"/>
    <s v="SEMINARIO INVESTIGATIVO"/>
    <n v="2"/>
  </r>
  <r>
    <x v="7"/>
    <n v="17888"/>
    <s v="CURRÍCULO Y APRENDIZAJE EN LA EDUCACIÓN INFANTIL (PRÁCTICA FORMATIVA VI)"/>
    <n v="4"/>
  </r>
  <r>
    <x v="7"/>
    <n v="17906"/>
    <s v="HABILIDADES COMUNICATIVAS EN LA INFANCIA I"/>
    <n v="3"/>
  </r>
  <r>
    <x v="7"/>
    <n v="17797"/>
    <s v="INGLÉS V"/>
    <n v="2"/>
  </r>
  <r>
    <x v="7"/>
    <n v="17066"/>
    <s v="CÁTEDRA OPCIONAL"/>
    <n v="3"/>
  </r>
  <r>
    <x v="7"/>
    <m/>
    <s v="PROFUNDIZACIÓN I"/>
    <n v="3"/>
  </r>
  <r>
    <x v="7"/>
    <n v="17889"/>
    <s v="DIDÁCTICA ESPECÍFICA (PRÁCTICA - PROYECTO DE AULA, TRABAJO PEDAGÓGICO DE 0 A 3 AÑOS)"/>
    <n v="4"/>
  </r>
  <r>
    <x v="7"/>
    <n v="17894"/>
    <s v="LÚDICA Y VIVENCIA MUSICAL"/>
    <n v="2"/>
  </r>
  <r>
    <x v="7"/>
    <n v="17904"/>
    <s v="FUNDAMENTACIÓN EN INVESTIGACIÓN I (ANTEPROYECTO)"/>
    <n v="3"/>
  </r>
  <r>
    <x v="7"/>
    <n v="17907"/>
    <s v="HABILIDADES COMUNICATIVAS EN LA INFANCIA II"/>
    <n v="3"/>
  </r>
  <r>
    <x v="7"/>
    <n v="17801"/>
    <s v="INGLÉS VI"/>
    <n v="2"/>
  </r>
  <r>
    <x v="7"/>
    <m/>
    <s v="PROFUNDIZACIÓN II"/>
    <n v="3"/>
  </r>
  <r>
    <x v="7"/>
    <n v="17890"/>
    <s v="PRÁCTICA PEDAGÓGICA (MEDIOS Y MEDIACIONES EN LA EDUCACIÓN INFANTIL)"/>
    <n v="4"/>
  </r>
  <r>
    <x v="7"/>
    <n v="17895"/>
    <s v="LÚDICA Y EXPRESIÓN CREATIVA"/>
    <n v="2"/>
  </r>
  <r>
    <x v="7"/>
    <n v="17899"/>
    <s v="EXPLORACIÓN DE LAS HABILIDADES MATEMÁTICAS"/>
    <n v="3"/>
  </r>
  <r>
    <x v="7"/>
    <n v="17908"/>
    <s v="LITERATURA Y TRADICIONAL ORAL EN LA INFANCIA"/>
    <n v="2"/>
  </r>
  <r>
    <x v="7"/>
    <m/>
    <s v="ELECTIVA III"/>
    <n v="3"/>
  </r>
  <r>
    <x v="7"/>
    <m/>
    <s v="PROFUNDIZACIÓN III"/>
    <n v="3"/>
  </r>
  <r>
    <x v="7"/>
    <n v="17891"/>
    <s v="PRÁCTICA PEDAGÓGICA DE AULA (TRABAJO PEDAGÓGICO DE 3 A 7 AÑOS)"/>
    <n v="4"/>
  </r>
  <r>
    <x v="7"/>
    <n v="17903"/>
    <s v="CENTROS INFANTILES Y CONTEXTOS ESCOLARES"/>
    <n v="3"/>
  </r>
  <r>
    <x v="7"/>
    <n v="17905"/>
    <s v="FUNDAMENTACIÓN EN INVESTIGACIÓN II (PROYECTO)"/>
    <n v="2"/>
  </r>
  <r>
    <x v="7"/>
    <m/>
    <s v="PROFUNDIZACIÓN IV"/>
    <n v="3"/>
  </r>
  <r>
    <x v="7"/>
    <n v="17892"/>
    <s v="PRÁCTICA PEDAGÓGICA COMUNITARIA (INFANCIA, AMBIENTE Y COMUNIDAD)"/>
    <n v="4"/>
  </r>
  <r>
    <x v="7"/>
    <n v="17900"/>
    <s v="EXPLORACIÓN DEL ENTORNO AFECTIVO Y SOCIAL"/>
    <n v="3"/>
  </r>
  <r>
    <x v="7"/>
    <n v="17010"/>
    <s v="SEMINARIO INTERDISCIPLINARIO"/>
    <n v="2"/>
  </r>
  <r>
    <x v="7"/>
    <m/>
    <s v="ELECTIVA IV"/>
    <n v="3"/>
  </r>
  <r>
    <x v="8"/>
    <n v="10004"/>
    <s v="CN LECTO-E"/>
    <n v="0"/>
  </r>
  <r>
    <x v="8"/>
    <n v="50101"/>
    <s v="FUNDAMENTOS DE LA BIOLOGÍA HUMANA APLICADA A LA CULTURA FÍSICA"/>
    <n v="2"/>
  </r>
  <r>
    <x v="8"/>
    <n v="50102"/>
    <s v="APRENDIZAJE Y DESARROLLO MOTOR"/>
    <n v="2"/>
  </r>
  <r>
    <x v="8"/>
    <n v="50103"/>
    <s v="INTRODUCCIÓN A LA CULTURA FÍSICA"/>
    <n v="2"/>
  </r>
  <r>
    <x v="8"/>
    <n v="50105"/>
    <s v="PRODUCCIÓN DE TEXTO"/>
    <n v="2"/>
  </r>
  <r>
    <x v="8"/>
    <n v="50206"/>
    <s v="INTRODUCCIÓN A LA ADMINISTRACIÓN DE LA C.F.D.R."/>
    <n v="2"/>
  </r>
  <r>
    <x v="8"/>
    <n v="50805"/>
    <s v="PEDAGOGÍA DE LA CULTURA FÍSICA"/>
    <n v="3"/>
  </r>
  <r>
    <x v="8"/>
    <n v="56331"/>
    <s v="EXPRESIÓN CORPORAL Y ARTÍSTICA"/>
    <n v="2"/>
  </r>
  <r>
    <x v="8"/>
    <n v="95001"/>
    <s v="HUMANIDADES I"/>
    <n v="2"/>
  </r>
  <r>
    <x v="8"/>
    <n v="95002"/>
    <s v="CÁTEDRA FORMACIÓN FÍSICA INTEGRAL, HENRI DIDON"/>
    <n v="0"/>
  </r>
  <r>
    <x v="8"/>
    <n v="50002"/>
    <s v="PRAXIOLOGÍA MOTRIZ"/>
    <n v="3"/>
  </r>
  <r>
    <x v="8"/>
    <n v="50003"/>
    <s v="DIDÁCTICA DE LA ACTIVIDAD FÍSICA"/>
    <n v="2"/>
  </r>
  <r>
    <x v="8"/>
    <n v="50004"/>
    <s v="EVENTOS Y ESCENARIOS"/>
    <n v="2"/>
  </r>
  <r>
    <x v="8"/>
    <n v="50005"/>
    <s v="SOCIOLOGÍA DEL DEPORTE"/>
    <n v="2"/>
  </r>
  <r>
    <x v="8"/>
    <n v="50006"/>
    <s v="PSICOMOTRICIDAD"/>
    <n v="2"/>
  </r>
  <r>
    <x v="8"/>
    <n v="50145"/>
    <s v="MARCO LEGAL DE LA C.F.D.R. EN COLOMBIA"/>
    <n v="2"/>
  </r>
  <r>
    <x v="8"/>
    <n v="50205"/>
    <s v="MORFOFISIOLOGÍA"/>
    <n v="2"/>
  </r>
  <r>
    <x v="8"/>
    <n v="95109"/>
    <s v="HUMANIDADES II"/>
    <n v="2"/>
  </r>
  <r>
    <x v="8"/>
    <n v="50007"/>
    <s v="FISIOLOGÍA DEL EJERCICIO"/>
    <n v="3"/>
  </r>
  <r>
    <x v="8"/>
    <n v="50008"/>
    <s v="BIOMECÁNICA"/>
    <n v="2"/>
  </r>
  <r>
    <x v="8"/>
    <n v="50603"/>
    <s v="NUTRICIÓN PARA LA ACTIVIDAD FÍSICA Y EL DEPORTE"/>
    <n v="2"/>
  </r>
  <r>
    <x v="8"/>
    <n v="50009"/>
    <s v="PEDAGOGÍA DEL JUEGO"/>
    <n v="2"/>
  </r>
  <r>
    <x v="8"/>
    <n v="50011"/>
    <s v="INICIACIÓN Y FORMACIÓN DEPORTIVA"/>
    <n v="2"/>
  </r>
  <r>
    <x v="8"/>
    <n v="50146"/>
    <s v="HABILIDADES INVESTIGATIVAS"/>
    <n v="2"/>
  </r>
  <r>
    <x v="8"/>
    <n v="50603"/>
    <s v="DISEÑO Y GESTIÓN DE PROYECTOS DE LA C.F.D.R."/>
    <n v="2"/>
  </r>
  <r>
    <x v="8"/>
    <n v="95110"/>
    <s v="HUMANIDADES III"/>
    <n v="2"/>
  </r>
  <r>
    <x v="8"/>
    <n v="50012"/>
    <s v="ENFERMEDADES CRÓNICAS NO TRANSMISIBLES - PATOKINESIS"/>
    <n v="2"/>
  </r>
  <r>
    <x v="8"/>
    <n v="50013"/>
    <s v="DEPORTES DE ARTE Y PRECISIÓN"/>
    <n v="3"/>
  </r>
  <r>
    <x v="8"/>
    <n v="50014"/>
    <s v="METODOLOGÍAS PARA LA ENSEÑANZA DE LA RECREACIÓN"/>
    <n v="3"/>
  </r>
  <r>
    <x v="8"/>
    <n v="50015"/>
    <s v="MARKETING DEPORTIVO"/>
    <n v="2"/>
  </r>
  <r>
    <x v="8"/>
    <n v="50141"/>
    <s v="ENTRENAMIENTO Y RENDIMIENTO DEPORTIVO"/>
    <n v="3"/>
  </r>
  <r>
    <x v="8"/>
    <n v="50408"/>
    <s v="EVALUACIÓN FUNCIONAL"/>
    <n v="2"/>
  </r>
  <r>
    <x v="8"/>
    <n v="95111"/>
    <s v="HUMANIDADES IV"/>
    <n v="2"/>
  </r>
  <r>
    <x v="8"/>
    <n v="50016"/>
    <s v="PROGRAMACIÓN DEL EJERCICIO PARA LA SALUD"/>
    <n v="2"/>
  </r>
  <r>
    <x v="8"/>
    <n v="50017"/>
    <s v="DEPORTES DE COMBATE"/>
    <n v="2"/>
  </r>
  <r>
    <x v="8"/>
    <n v="50018"/>
    <s v="DEPORTES DE CONJUNTO"/>
    <n v="3"/>
  </r>
  <r>
    <x v="8"/>
    <n v="50019"/>
    <s v="MARCO CONCEPTUAL, HISTORIA Y TENDENCIAS DE LA RECREACIÓN"/>
    <n v="2"/>
  </r>
  <r>
    <x v="8"/>
    <n v="50020"/>
    <s v="ESTADÍSTICA APLICADA A LA INVESTIGACIÓN"/>
    <n v="2"/>
  </r>
  <r>
    <x v="8"/>
    <n v="50183"/>
    <s v="PROMOCIÓN Y PREVENCIÓN DE LA SALUD"/>
    <n v="3"/>
  </r>
  <r>
    <x v="8"/>
    <n v="50409"/>
    <s v="CAMPAMENTO Y EDUCACIÓN PARA LA VIDA"/>
    <n v="2"/>
  </r>
  <r>
    <x v="8"/>
    <n v="50021"/>
    <s v="ENTRENAMIENTO PERSONALIZADO Y GRUPAL"/>
    <n v="3"/>
  </r>
  <r>
    <x v="8"/>
    <n v="50022"/>
    <s v="DEPORTES DE TIEMPO Y MARCA"/>
    <n v="3"/>
  </r>
  <r>
    <x v="8"/>
    <n v="50023"/>
    <s v="DISEÑO DE INSTRUMENTOS Y PROPUESTAS RECREATIVAS"/>
    <n v="2"/>
  </r>
  <r>
    <x v="8"/>
    <n v="50024"/>
    <s v="PSICOLOGÍA DEPORTIVA"/>
    <n v="2"/>
  </r>
  <r>
    <x v="8"/>
    <n v="50140"/>
    <s v="DEPORTES ALTERNATIVOS"/>
    <n v="2"/>
  </r>
  <r>
    <x v="8"/>
    <n v="50148"/>
    <s v="EDUCACIÓN EXPERIENCIAL"/>
    <n v="2"/>
  </r>
  <r>
    <x v="8"/>
    <n v="50702"/>
    <s v="ADMINISTRACIÓN DE LOS ORGANISMOS DEPORTIVOS"/>
    <n v="2"/>
  </r>
  <r>
    <x v="8"/>
    <n v="50025"/>
    <s v="TECNOLOGÍA APLICADA A LA CFDR"/>
    <n v="2"/>
  </r>
  <r>
    <x v="8"/>
    <n v="50026"/>
    <s v="METODOLOGÍA DE LA INVESTIGACIÓN"/>
    <n v="3"/>
  </r>
  <r>
    <x v="8"/>
    <n v="50210"/>
    <s v="PROFUNDIZACIÓN 1"/>
    <n v="3"/>
  </r>
  <r>
    <x v="8"/>
    <n v="50301"/>
    <s v="PROFUNDIZACIÓN 2"/>
    <n v="3"/>
  </r>
  <r>
    <x v="8"/>
    <n v="50302"/>
    <s v="ELECTIVA I"/>
    <n v="2"/>
  </r>
  <r>
    <x v="8"/>
    <n v="95112"/>
    <s v="HUMANIDADES V"/>
    <n v="2"/>
  </r>
  <r>
    <x v="8"/>
    <n v="50602"/>
    <s v="PROYECTO DE INVESTIGACIÓN"/>
    <n v="2"/>
  </r>
  <r>
    <x v="8"/>
    <n v="50606"/>
    <s v="ELECTIVA II"/>
    <n v="2"/>
  </r>
  <r>
    <x v="8"/>
    <n v="50801"/>
    <s v="PROFUNDIZACIÓN 3"/>
    <n v="3"/>
  </r>
  <r>
    <x v="8"/>
    <n v="50802"/>
    <s v="PROFUNDIZACIÓN 4"/>
    <n v="3"/>
  </r>
  <r>
    <x v="8"/>
    <n v="50905"/>
    <s v="CATEDRA OPCIONAL"/>
    <n v="3"/>
  </r>
  <r>
    <x v="8"/>
    <n v="50177"/>
    <s v="PRACTICAS PROFESIONALES"/>
    <n v="9"/>
  </r>
  <r>
    <x v="8"/>
    <n v="50703"/>
    <s v="ELECTIVA IV"/>
    <n v="2"/>
  </r>
  <r>
    <x v="8"/>
    <n v="50706"/>
    <s v="ELECTIVA III"/>
    <n v="2"/>
  </r>
  <r>
    <x v="8"/>
    <n v="50900"/>
    <s v="OPCIÓN DE GRADO"/>
    <n v="3"/>
  </r>
  <r>
    <x v="9"/>
    <n v="96111"/>
    <s v="ÁLGEBRA LINEAL"/>
    <n v="3"/>
  </r>
  <r>
    <x v="9"/>
    <n v="15005"/>
    <s v="BIOLOGÍA"/>
    <n v="3"/>
  </r>
  <r>
    <x v="9"/>
    <n v="96110"/>
    <s v="CÁLCULO DIFERENCIAL"/>
    <n v="3"/>
  </r>
  <r>
    <x v="9"/>
    <n v="95170"/>
    <s v="CÁTEDRA FORMACIÓN FÍSICA INTEGRAL - HENRI DIDON"/>
    <n v="0"/>
  </r>
  <r>
    <x v="9"/>
    <n v="95108"/>
    <s v="FILOSOFÍA INSTITUCIONAL"/>
    <n v="2"/>
  </r>
  <r>
    <x v="9"/>
    <n v="15062"/>
    <s v="INTRODUCCIÓN A LA INGENIERÍA AMBIENTAL"/>
    <n v="3"/>
  </r>
  <r>
    <x v="9"/>
    <n v="95109"/>
    <s v="ANTROPOLOGÍA"/>
    <n v="2"/>
  </r>
  <r>
    <x v="9"/>
    <n v="96113"/>
    <s v="CÁLCULO INTEGRAL"/>
    <n v="3"/>
  </r>
  <r>
    <x v="9"/>
    <n v="15061"/>
    <s v="ECOLOGÍA"/>
    <n v="3"/>
  </r>
  <r>
    <x v="9"/>
    <n v="15650"/>
    <s v="LENGUA EXTRANJERA I"/>
    <n v="2"/>
  </r>
  <r>
    <x v="9"/>
    <n v="96112"/>
    <s v="FÍSICA MECÁNICA"/>
    <n v="3"/>
  </r>
  <r>
    <x v="9"/>
    <n v="96145"/>
    <s v="QUÍMICA INORGÁNICA"/>
    <n v="3"/>
  </r>
  <r>
    <x v="9"/>
    <n v="96115"/>
    <s v="CÁLCULO VECTORIAL"/>
    <n v="3"/>
  </r>
  <r>
    <x v="9"/>
    <n v="15651"/>
    <s v="LENGUA EXTRANJERA I"/>
    <n v="2"/>
  </r>
  <r>
    <x v="9"/>
    <n v="15069"/>
    <s v="INVESTIGACIÓN EN INGENIERÍA"/>
    <n v="2"/>
  </r>
  <r>
    <x v="9"/>
    <n v="15009"/>
    <s v="QUÍMICA ORGÁNICA"/>
    <n v="3"/>
  </r>
  <r>
    <x v="9"/>
    <n v="15068"/>
    <s v="TOPOGRAFÍA Y CARTOGRAFÍA"/>
    <n v="3"/>
  </r>
  <r>
    <x v="9"/>
    <n v="15094"/>
    <s v="FÍSICA DE ONDAS, FLUIDOS Y CALOR"/>
    <n v="3"/>
  </r>
  <r>
    <x v="9"/>
    <n v="96117"/>
    <s v="ECUACIONES DIFERENCIALES"/>
    <n v="3"/>
  </r>
  <r>
    <x v="9"/>
    <n v="15652"/>
    <s v="LENGUA EXTRANJERA II"/>
    <n v="2"/>
  </r>
  <r>
    <x v="9"/>
    <n v="96303"/>
    <s v="LÓGICA DE PROGRAMACIÓN"/>
    <n v="3"/>
  </r>
  <r>
    <x v="9"/>
    <n v="15686"/>
    <s v="MECÁNICA DE FLUIDOS"/>
    <n v="3"/>
  </r>
  <r>
    <x v="9"/>
    <n v="15026"/>
    <s v="PROBABILIDAD Y ESTADÍSTICA"/>
    <n v="2"/>
  </r>
  <r>
    <x v="9"/>
    <n v="15065"/>
    <s v="TÉCNICAS DE CAMPO"/>
    <n v="2"/>
  </r>
  <r>
    <x v="9"/>
    <n v="15657"/>
    <s v="BALANCE DE MATERIA Y ENERGÍA"/>
    <n v="2"/>
  </r>
  <r>
    <x v="9"/>
    <n v="15653"/>
    <s v="LENGUA EXTRANJERA III"/>
    <n v="2"/>
  </r>
  <r>
    <x v="9"/>
    <n v="15070"/>
    <s v="GEOLOGÍA Y EDAFOLOGÍA"/>
    <n v="3"/>
  </r>
  <r>
    <x v="9"/>
    <n v="15015"/>
    <s v="MICROBIOLOGÍA AMBIENTAL"/>
    <n v="3"/>
  </r>
  <r>
    <x v="9"/>
    <n v="15656"/>
    <s v="RECURSOS HIDRÁULICOS"/>
    <n v="3"/>
  </r>
  <r>
    <x v="9"/>
    <n v="15658"/>
    <s v="EPISTEMOLOGÍA"/>
    <n v="2"/>
  </r>
  <r>
    <x v="9"/>
    <n v="15064"/>
    <s v="CLIMATOLOGÍA"/>
    <n v="3"/>
  </r>
  <r>
    <x v="9"/>
    <n v="15654"/>
    <s v="LENGUA EXTRANJERA IV"/>
    <n v="2"/>
  </r>
  <r>
    <x v="9"/>
    <n v="15017"/>
    <s v="FUNDAMENTOS DE ECONOMÍA Y ADMINISTRACIÓN"/>
    <n v="2"/>
  </r>
  <r>
    <x v="9"/>
    <n v="15073"/>
    <s v="HIDROLOGÍA"/>
    <n v="3"/>
  </r>
  <r>
    <x v="9"/>
    <n v="15029"/>
    <s v="LEGISLACIÓN AMBIENTAL"/>
    <n v="2"/>
  </r>
  <r>
    <x v="9"/>
    <n v="15071"/>
    <s v="SISTEMAS DE INFORMACIÓN GEOGRÁFICA"/>
    <n v="3"/>
  </r>
  <r>
    <x v="9"/>
    <n v="15674"/>
    <s v="CALIDAD DEL AIRE"/>
    <n v="3"/>
  </r>
  <r>
    <x v="9"/>
    <n v="15048"/>
    <s v="ECONOMÍA AMBIENTAL"/>
    <n v="2"/>
  </r>
  <r>
    <x v="9"/>
    <n v="15027"/>
    <s v="GESTIÓN DE RESIDUOS SÓLIDOS"/>
    <n v="2"/>
  </r>
  <r>
    <x v="9"/>
    <n v="15659"/>
    <s v="POTABILIZACIÓN DE AGUA"/>
    <n v="3"/>
  </r>
  <r>
    <x v="9"/>
    <n v="15655"/>
    <s v="LENGUA EXTRANJERA V"/>
    <n v="2"/>
  </r>
  <r>
    <x v="9"/>
    <n v="15675"/>
    <s v="CULTURA TEOLÓGICA"/>
    <n v="2"/>
  </r>
  <r>
    <x v="9"/>
    <n v="15054"/>
    <s v="FORMULACIÓN Y EVALUACIÓN DE PROYECTOS"/>
    <n v="2"/>
  </r>
  <r>
    <x v="9"/>
    <n v="15075"/>
    <s v="GESTIÓN AMBIENTAL DE PROCESOS"/>
    <n v="3"/>
  </r>
  <r>
    <x v="9"/>
    <n v="15051"/>
    <s v="MODELACIÓN Y SIMULACIÓN AMBIENTAL"/>
    <n v="3"/>
  </r>
  <r>
    <x v="9"/>
    <n v="15676"/>
    <s v="ELECTIVA PROFUNDIZACIÓN I"/>
    <n v="3"/>
  </r>
  <r>
    <x v="9"/>
    <n v="15079"/>
    <s v="TRATAMIENTO DE AGUAS RESIDUALES"/>
    <n v="3"/>
  </r>
  <r>
    <x v="9"/>
    <n v="15052"/>
    <s v="INGENIERÍA ECONÓMICA"/>
    <n v="2"/>
  </r>
  <r>
    <x v="9"/>
    <n v="15679"/>
    <s v="PRODUCCIÓN MÁS LIMPIA"/>
    <n v="2"/>
  </r>
  <r>
    <x v="9"/>
    <n v="15680"/>
    <s v="ELECTIVA PROFUNDIZACIÓN II"/>
    <n v="3"/>
  </r>
  <r>
    <x v="9"/>
    <n v="15677"/>
    <s v="SEMINARIO DE GRADO"/>
    <n v="2"/>
  </r>
  <r>
    <x v="9"/>
    <n v="15046"/>
    <s v="SISTEMAS DE GESTIÓN AMBIENTAL"/>
    <n v="2"/>
  </r>
  <r>
    <x v="9"/>
    <n v="15678"/>
    <s v="FILOSOFÍA POLÍTICA"/>
    <n v="2"/>
  </r>
  <r>
    <x v="9"/>
    <n v="15681"/>
    <s v="CÁTEDRA OPCIONAL INSTITUCIONAL"/>
    <n v="3"/>
  </r>
  <r>
    <x v="9"/>
    <n v="15050"/>
    <s v="IMPACTO AMBIENTAL"/>
    <n v="2"/>
  </r>
  <r>
    <x v="9"/>
    <n v="15684"/>
    <s v="ELECTIVA PROFUNDIZACIÓN III"/>
    <n v="3"/>
  </r>
  <r>
    <x v="9"/>
    <n v="15059"/>
    <s v="SEMINARIO DE ACTUALIZACIÓN"/>
    <n v="2"/>
  </r>
  <r>
    <x v="9"/>
    <n v="15682"/>
    <s v="OPCIÓN DE GRADO"/>
    <n v="3"/>
  </r>
  <r>
    <x v="9"/>
    <n v="15683"/>
    <s v="ÉTICA"/>
    <n v="2"/>
  </r>
  <r>
    <x v="9"/>
    <n v="15685"/>
    <s v="CÁTEDRA OPCIONAL COMPLEMENTARIA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CA797-A3EB-498E-A5CA-5104FD5D8A1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3:T14" firstHeaderRow="1" firstDataRow="1" firstDataCol="1"/>
  <pivotFields count="4">
    <pivotField axis="axisRow" showAll="0">
      <items count="11">
        <item x="0"/>
        <item x="5"/>
        <item x="1"/>
        <item x="8"/>
        <item x="9"/>
        <item x="6"/>
        <item x="2"/>
        <item x="3"/>
        <item x="7"/>
        <item x="4"/>
        <item t="default"/>
      </items>
    </pivotField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CRÉDITO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346D13-A3CD-410C-B89E-C9A80DD924F8}" name="PROGRAMAS_N" displayName="PROGRAMAS_N" ref="P2:Q72" totalsRowShown="0" dataDxfId="86" tableBorderDxfId="85">
  <autoFilter ref="P2:Q72" xr:uid="{9C27C102-0060-41A6-A00E-43A468065CB4}"/>
  <tableColumns count="2">
    <tableColumn id="1" xr3:uid="{2D10AD38-7BE3-455D-9E43-F47FD6DB2621}" name="PROGRAMAS ORIGEN" dataDxfId="84"/>
    <tableColumn id="2" xr3:uid="{DF23853A-6646-45F4-A82E-0050E6086338}" name="NIVEL" dataDxfId="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0E9D94-9AAD-43DF-953E-AD1E23F86011}" name="PROGRAMASD2" displayName="PROGRAMASD2" ref="U2:V12" totalsRowShown="0" headerRowDxfId="82" dataDxfId="81" tableBorderDxfId="80">
  <autoFilter ref="U2:V12" xr:uid="{051C8F34-E6E4-460B-BB69-51B17ED1EBBF}"/>
  <sortState xmlns:xlrd2="http://schemas.microsoft.com/office/spreadsheetml/2017/richdata2" ref="U3:U12">
    <sortCondition ref="U3:U12"/>
  </sortState>
  <tableColumns count="2">
    <tableColumn id="1" xr3:uid="{702642DC-0280-44A7-9D1E-CECFB1EAB7BA}" name="PROGRAMAS DESTINO" dataDxfId="79"/>
    <tableColumn id="2" xr3:uid="{F6394743-D1EA-49CB-BC61-86FD4152FB2F}" name="CRÉDITOS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66C913-2594-4D1F-BCCD-74D2CD213155}" name="Tabla49" displayName="Tabla49" ref="X2:AA627" totalsRowShown="0" headerRowDxfId="77" dataDxfId="75" headerRowBorderDxfId="76" tableBorderDxfId="74" totalsRowBorderDxfId="73">
  <autoFilter ref="X2:AA627" xr:uid="{B52CA573-AF31-462D-B578-1619555CEA14}"/>
  <tableColumns count="4">
    <tableColumn id="4" xr3:uid="{F67364EE-2FE2-41A4-A33C-CF08DEBAE8FD}" name="PROGRAMA" dataDxfId="72"/>
    <tableColumn id="1" xr3:uid="{45B92B23-A082-4476-8BE9-F540D6699FA3}" name="CÓDIGO" dataDxfId="71"/>
    <tableColumn id="2" xr3:uid="{2143D917-91B4-4722-9AC8-7D2C2B2157D8}" name="ESPACIO ACADÉMICO DESTINO" dataDxfId="70"/>
    <tableColumn id="3" xr3:uid="{E2F702F5-2D59-415A-8061-8C8E35F1BB59}" name="CRÉDITOS" dataDxfId="6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F2CF1B-F114-405A-AC64-5CFBB103562D}" name="Tabla9" displayName="Tabla9" ref="C2:K745" totalsRowShown="0" headerRowDxfId="68" dataDxfId="67" tableBorderDxfId="66">
  <autoFilter ref="C2:K745" xr:uid="{3DF2CF1B-F114-405A-AC64-5CFBB103562D}"/>
  <tableColumns count="9">
    <tableColumn id="9" xr3:uid="{A934558E-61CF-479C-9807-A82D52F64F61}" name="NIVEL" dataDxfId="65">
      <calculatedColumnFormula>_xlfn.XLOOKUP(Tabla9[[#This Row],[PROGRAMA ORIGEN]],PROGRAMAS_N[PROGRAMAS ORIGEN],PROGRAMAS_N[NIVEL],"")</calculatedColumnFormula>
    </tableColumn>
    <tableColumn id="1" xr3:uid="{431D094A-9A15-454E-AB63-A59204C72DAC}" name="PROGRAMA ORIGEN" dataDxfId="64"/>
    <tableColumn id="2" xr3:uid="{6FBDB6BB-F98F-49B2-A1BA-390D3D4D008A}" name="CÓDIGO" dataDxfId="63"/>
    <tableColumn id="3" xr3:uid="{7E287FC5-F96E-4538-8612-A4E3F259CC25}" name="ESPACIO ACADÉMICO" dataDxfId="62"/>
    <tableColumn id="4" xr3:uid="{92B29FBB-E31A-4E26-8EA8-69BECC3B8AF8}" name="CÓDIGO2" dataDxfId="61">
      <calculatedColumnFormula array="1">+_xlfn.XLOOKUP(Tabla9[[#This Row],[ESPACIO ACADÉMICO DESTINO]]&amp;Tabla9[[#This Row],[PROGRAMA DESTINO]],Tabla49[ESPACIO ACADÉMICO DESTINO]&amp;Tabla49[PROGRAMA],Tabla49[CÓDIGO],"")</calculatedColumnFormula>
    </tableColumn>
    <tableColumn id="5" xr3:uid="{8CA26697-08EC-4261-9E24-2B0B048455B0}" name="ESPACIO ACADÉMICO DESTINO" dataDxfId="60"/>
    <tableColumn id="6" xr3:uid="{23CD9520-83AB-4544-A013-A52971FB8500}" name="CRÉDITOS D" dataDxfId="59">
      <calculatedColumnFormula array="1">+_xlfn.XLOOKUP(Tabla9[[#This Row],[ESPACIO ACADÉMICO DESTINO]]&amp;Tabla9[[#This Row],[PROGRAMA DESTINO]],Tabla49[ESPACIO ACADÉMICO DESTINO]&amp;Tabla49[PROGRAMA],Tabla49[CRÉDITOS],"")</calculatedColumnFormula>
    </tableColumn>
    <tableColumn id="7" xr3:uid="{E6A4B9C5-7ABB-4D3B-B108-FA48E2BAF49C}" name="NOTA" dataDxfId="58"/>
    <tableColumn id="8" xr3:uid="{CC77D79C-0ADF-4C50-8CF0-F46C8AC09C8B}" name="PROGRAMA DESTINO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73C600-8C62-4BD3-AFCF-1BBF6B2C64CD}" name="NIVEL" displayName="NIVEL" ref="AC2:AC4" totalsRowShown="0">
  <autoFilter ref="AC2:AC4" xr:uid="{1D73C600-8C62-4BD3-AFCF-1BBF6B2C64CD}"/>
  <sortState xmlns:xlrd2="http://schemas.microsoft.com/office/spreadsheetml/2017/richdata2" ref="AC3:AC4">
    <sortCondition ref="AC3:AC4"/>
  </sortState>
  <tableColumns count="1">
    <tableColumn id="1" xr3:uid="{ADA5A7E5-66E9-4B49-A6B0-7965B82273CF}" name="NIV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7ACAC7-174C-48A0-8F9E-32F402126D6E}" name="PROGRAMAS_O" displayName="PROGRAMAS_O" ref="N2:N72" totalsRowShown="0" headerRowDxfId="56" dataDxfId="54" headerRowBorderDxfId="55" tableBorderDxfId="53" totalsRowBorderDxfId="52">
  <autoFilter ref="N2:N72" xr:uid="{F67ACAC7-174C-48A0-8F9E-32F402126D6E}"/>
  <sortState xmlns:xlrd2="http://schemas.microsoft.com/office/spreadsheetml/2017/richdata2" ref="N3:N73">
    <sortCondition ref="N3:N73"/>
  </sortState>
  <tableColumns count="1">
    <tableColumn id="1" xr3:uid="{5046175F-102A-4EBD-87F5-F7B19E776E55}" name="PROGRAMAS ORIGEN" dataDxfId="5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1094BE5-85B6-45F7-B1F2-A4A15B5C0644}" name="NIVELES" displayName="NIVELES" ref="AE2:AE10" totalsRowShown="0">
  <autoFilter ref="AE2:AE10" xr:uid="{F1094BE5-85B6-45F7-B1F2-A4A15B5C0644}"/>
  <sortState xmlns:xlrd2="http://schemas.microsoft.com/office/spreadsheetml/2017/richdata2" ref="AE3:AE10">
    <sortCondition ref="AE3:AE10"/>
  </sortState>
  <tableColumns count="1">
    <tableColumn id="1" xr3:uid="{E7FD751B-CC62-491F-B9C8-AB76666E1DC1}" name="NIVELES DE FORMACIÓ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B937050-1700-4EB0-9865-B1BADB7A1A72}" name="FORMACION" displayName="FORMACION" ref="AG2:AG4" totalsRowShown="0">
  <autoFilter ref="AG2:AG4" xr:uid="{8B937050-1700-4EB0-9865-B1BADB7A1A72}"/>
  <tableColumns count="1">
    <tableColumn id="1" xr3:uid="{79D54116-B088-4EF4-98B4-A50DDEF31351}" name="FORMACIÓ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A9F5B09-D493-4A33-96A4-C6A1E8DD7A99}" name="OPC" displayName="OPC" ref="AI2:AI4" totalsRowShown="0">
  <autoFilter ref="AI2:AI4" xr:uid="{DA9F5B09-D493-4A33-96A4-C6A1E8DD7A99}"/>
  <tableColumns count="1">
    <tableColumn id="1" xr3:uid="{D0B44E62-AEA8-4F20-A5BE-FFD07A8A95B0}" name="OPC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B4C148-9990-4EFA-8C58-C3081A5B267C}" name="PÉNSUM" displayName="PÉNSUM" ref="AK2:AK4" totalsRowShown="0">
  <autoFilter ref="AK2:AK4" xr:uid="{6AB4C148-9990-4EFA-8C58-C3081A5B267C}"/>
  <tableColumns count="1">
    <tableColumn id="1" xr3:uid="{9F1AB2CF-08BB-4409-99EC-57BB8FA7819B}" name="PÉN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48A773-DE8A-4956-B7E4-FD2C19760FA0}" name="PROGRAMASD" displayName="PROGRAMASD" ref="S2:S12" totalsRowShown="0" headerRowDxfId="50" dataDxfId="48" headerRowBorderDxfId="49" tableBorderDxfId="47" totalsRowBorderDxfId="46">
  <autoFilter ref="S2:S12" xr:uid="{3148A773-DE8A-4956-B7E4-FD2C19760FA0}"/>
  <tableColumns count="1">
    <tableColumn id="1" xr3:uid="{E56CA3B8-CBD2-4DD3-AAB8-B90510878C1F}" name="PROGRAMAS DESTINO" dataDxfId="4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7C334E-B24C-4E31-8174-FD3215C46186}" name="TIPO_DOC" displayName="TIPO_DOC" ref="AM2:AM9" totalsRowShown="0" headerRowDxfId="44" dataDxfId="42" headerRowBorderDxfId="43" tableBorderDxfId="41" totalsRowBorderDxfId="40">
  <autoFilter ref="AM2:AM9" xr:uid="{767C334E-B24C-4E31-8174-FD3215C46186}"/>
  <tableColumns count="1">
    <tableColumn id="1" xr3:uid="{5AF36630-B241-4540-BBE4-41EF144FD242}" name="TIPO DE DOCUMENTO" dataDxfId="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4C222D-C7A5-40F1-81EA-9DE541051794}" name="Tabla1" displayName="Tabla1" ref="B2:E596" totalsRowShown="0" dataDxfId="38">
  <autoFilter ref="B2:E596" xr:uid="{C12A6786-955E-41EC-8D6C-53F8D381351C}"/>
  <tableColumns count="4">
    <tableColumn id="1" xr3:uid="{15877925-A9C3-4471-9F65-0925A92BA035}" name="PROGRAMA" dataDxfId="37"/>
    <tableColumn id="2" xr3:uid="{C6DA8A10-D155-4BD6-A23A-6A1ACE876CFF}" name="CÓDIGO" dataDxfId="36"/>
    <tableColumn id="3" xr3:uid="{1FF6BDC5-3719-40C9-BD30-C842484C30C8}" name="ESPACIO ACADÉMICO DESTINO" dataDxfId="35"/>
    <tableColumn id="4" xr3:uid="{5770E63F-3D54-482D-8F81-7A0D97174CD1}" name="CRÉDITOS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FED4-7796-4110-AB6C-E9DABAF1828D}">
  <sheetPr>
    <pageSetUpPr fitToPage="1"/>
  </sheetPr>
  <dimension ref="A1:BN162"/>
  <sheetViews>
    <sheetView showGridLines="0" tabSelected="1" topLeftCell="C1" zoomScale="70" zoomScaleNormal="70" zoomScaleSheetLayoutView="70" workbookViewId="0">
      <selection activeCell="BK31" sqref="BK31"/>
    </sheetView>
  </sheetViews>
  <sheetFormatPr baseColWidth="10" defaultColWidth="0" defaultRowHeight="12.75" customHeight="1" zeroHeight="1" x14ac:dyDescent="0.2"/>
  <cols>
    <col min="1" max="1" width="10.85546875" style="22" customWidth="1"/>
    <col min="2" max="2" width="18.7109375" style="22" customWidth="1"/>
    <col min="3" max="3" width="1.28515625" style="22" customWidth="1"/>
    <col min="4" max="4" width="17" style="22" customWidth="1"/>
    <col min="5" max="5" width="39.42578125" style="108" customWidth="1"/>
    <col min="6" max="6" width="7.5703125" style="108" customWidth="1"/>
    <col min="7" max="7" width="7.5703125" style="22" customWidth="1"/>
    <col min="8" max="9" width="1.5703125" style="22" customWidth="1"/>
    <col min="10" max="10" width="17" style="22" customWidth="1"/>
    <col min="11" max="11" width="39.42578125" style="22" customWidth="1"/>
    <col min="12" max="13" width="7.5703125" style="22" customWidth="1"/>
    <col min="14" max="14" width="0.7109375" style="22" customWidth="1"/>
    <col min="15" max="15" width="1.28515625" style="22" customWidth="1"/>
    <col min="16" max="16" width="15.7109375" style="22" customWidth="1"/>
    <col min="17" max="17" width="6.7109375" style="22" customWidth="1"/>
    <col min="18" max="18" width="1.28515625" style="22" customWidth="1"/>
    <col min="19" max="21" width="3.85546875" style="22" customWidth="1"/>
    <col min="22" max="22" width="1.42578125" style="22" customWidth="1"/>
    <col min="23" max="41" width="3.85546875" style="22" customWidth="1"/>
    <col min="42" max="42" width="1.42578125" style="22" customWidth="1"/>
    <col min="43" max="54" width="3.85546875" style="22" customWidth="1"/>
    <col min="55" max="55" width="1.28515625" style="22" customWidth="1"/>
    <col min="56" max="56" width="6.7109375" style="22" customWidth="1"/>
    <col min="57" max="64" width="3.85546875" style="22" customWidth="1"/>
    <col min="65" max="66" width="10.85546875" style="22" customWidth="1"/>
    <col min="67" max="16384" width="10.85546875" style="22" hidden="1"/>
  </cols>
  <sheetData>
    <row r="1" spans="3:55" x14ac:dyDescent="0.2"/>
    <row r="2" spans="3:55" ht="14.25" x14ac:dyDescent="0.2">
      <c r="D2" s="109" t="s">
        <v>0</v>
      </c>
      <c r="E2" s="110"/>
      <c r="F2" s="110"/>
      <c r="G2" s="111"/>
      <c r="H2" s="111"/>
      <c r="I2" s="111"/>
      <c r="J2" s="111"/>
      <c r="K2" s="111"/>
    </row>
    <row r="3" spans="3:55" x14ac:dyDescent="0.2"/>
    <row r="4" spans="3:55" x14ac:dyDescent="0.2"/>
    <row r="5" spans="3:55" x14ac:dyDescent="0.2"/>
    <row r="6" spans="3:55" x14ac:dyDescent="0.2"/>
    <row r="7" spans="3:55" x14ac:dyDescent="0.2"/>
    <row r="8" spans="3:55" x14ac:dyDescent="0.2"/>
    <row r="9" spans="3:55" x14ac:dyDescent="0.2"/>
    <row r="10" spans="3:55" x14ac:dyDescent="0.2"/>
    <row r="11" spans="3:55" x14ac:dyDescent="0.2"/>
    <row r="12" spans="3:55" x14ac:dyDescent="0.2"/>
    <row r="13" spans="3:55" ht="12.6" customHeight="1" x14ac:dyDescent="0.2">
      <c r="C13" s="147" t="s">
        <v>1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12"/>
      <c r="R13" s="23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5"/>
    </row>
    <row r="14" spans="3:55" ht="12.6" customHeight="1" x14ac:dyDescent="0.2"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12"/>
      <c r="R14" s="26"/>
      <c r="S14" s="145" t="s">
        <v>2</v>
      </c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13"/>
      <c r="AJ14" s="27"/>
      <c r="AM14" s="145" t="s">
        <v>3</v>
      </c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28"/>
    </row>
    <row r="15" spans="3:55" ht="15" x14ac:dyDescent="0.25"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12"/>
      <c r="R15" s="26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/>
      <c r="AJ1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28"/>
    </row>
    <row r="16" spans="3:55" ht="8.1" customHeight="1" x14ac:dyDescent="0.25">
      <c r="R16" s="26"/>
      <c r="S16" s="29"/>
      <c r="U16" s="30"/>
      <c r="V16" s="30"/>
      <c r="AH16" s="31"/>
      <c r="AI16"/>
      <c r="AJ16"/>
      <c r="AM16" s="29"/>
      <c r="AO16" s="30"/>
      <c r="AP16" s="30"/>
      <c r="BB16" s="31"/>
      <c r="BC16" s="28"/>
    </row>
    <row r="17" spans="3:56" ht="9" customHeight="1" x14ac:dyDescent="0.25">
      <c r="C17" s="23"/>
      <c r="D17" s="24"/>
      <c r="E17" s="114"/>
      <c r="F17" s="114"/>
      <c r="G17" s="24"/>
      <c r="H17" s="24"/>
      <c r="I17" s="24"/>
      <c r="J17" s="24"/>
      <c r="K17" s="24"/>
      <c r="L17" s="24"/>
      <c r="M17" s="24"/>
      <c r="N17" s="24"/>
      <c r="O17" s="25"/>
      <c r="R17" s="26"/>
      <c r="S17" s="29"/>
      <c r="T17" s="30"/>
      <c r="U17" s="30"/>
      <c r="V17" s="30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31"/>
      <c r="AI17"/>
      <c r="AJ17"/>
      <c r="AM17" s="29"/>
      <c r="AN17" s="30"/>
      <c r="AO17" s="30"/>
      <c r="AP17" s="30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31"/>
      <c r="BC17" s="115"/>
      <c r="BD17" s="30"/>
    </row>
    <row r="18" spans="3:56" ht="18" customHeight="1" x14ac:dyDescent="0.25">
      <c r="C18" s="26"/>
      <c r="E18" s="22"/>
      <c r="K18" s="116" t="s">
        <v>4</v>
      </c>
      <c r="L18" s="150"/>
      <c r="M18" s="150"/>
      <c r="N18" s="118"/>
      <c r="O18" s="28"/>
      <c r="R18" s="26"/>
      <c r="S18" s="29"/>
      <c r="T18" s="146" t="s">
        <v>5</v>
      </c>
      <c r="U18" s="146"/>
      <c r="V18" s="146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31"/>
      <c r="AI18"/>
      <c r="AJ18"/>
      <c r="AM18" s="29"/>
      <c r="AN18" s="146" t="s">
        <v>5</v>
      </c>
      <c r="AO18" s="146"/>
      <c r="AP18" s="146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31"/>
      <c r="BC18" s="115"/>
      <c r="BD18" s="30"/>
    </row>
    <row r="19" spans="3:56" ht="8.1" customHeight="1" x14ac:dyDescent="0.25">
      <c r="C19" s="26"/>
      <c r="D19" s="119"/>
      <c r="O19" s="28"/>
      <c r="R19" s="26"/>
      <c r="S19" s="2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 s="31"/>
      <c r="AI19"/>
      <c r="AJ19"/>
      <c r="AM19" s="2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 s="31"/>
      <c r="BC19" s="115"/>
      <c r="BD19" s="30"/>
    </row>
    <row r="20" spans="3:56" ht="25.5" x14ac:dyDescent="0.25">
      <c r="C20" s="26"/>
      <c r="D20" s="110" t="s">
        <v>6</v>
      </c>
      <c r="E20" s="150"/>
      <c r="F20" s="150"/>
      <c r="G20" s="120"/>
      <c r="H20" s="120"/>
      <c r="I20" s="120"/>
      <c r="J20" s="116" t="s">
        <v>7</v>
      </c>
      <c r="K20" s="148"/>
      <c r="L20" s="148"/>
      <c r="M20" s="148"/>
      <c r="N20" s="121"/>
      <c r="O20" s="28"/>
      <c r="R20" s="26"/>
      <c r="S20" s="29"/>
      <c r="T20" s="146" t="s">
        <v>8</v>
      </c>
      <c r="U20" s="146"/>
      <c r="V20" s="146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32"/>
      <c r="AI20" s="33"/>
      <c r="AJ20" s="33"/>
      <c r="AM20" s="29"/>
      <c r="AN20" s="146" t="s">
        <v>8</v>
      </c>
      <c r="AO20" s="146"/>
      <c r="AP20" s="146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32"/>
      <c r="BC20" s="115"/>
      <c r="BD20" s="30"/>
    </row>
    <row r="21" spans="3:56" ht="8.1" customHeight="1" x14ac:dyDescent="0.25">
      <c r="C21" s="26"/>
      <c r="D21" s="119"/>
      <c r="O21" s="28"/>
      <c r="R21" s="26"/>
      <c r="S21" s="29"/>
      <c r="T21" s="30"/>
      <c r="U21" s="30"/>
      <c r="V21" s="30"/>
      <c r="W21" s="30"/>
      <c r="X21" s="30"/>
      <c r="Y21" s="30"/>
      <c r="Z21" s="30"/>
      <c r="AA21" s="30"/>
      <c r="AH21" s="31"/>
      <c r="AI21"/>
      <c r="AJ21"/>
      <c r="AM21" s="29"/>
      <c r="AN21" s="30"/>
      <c r="AO21" s="30"/>
      <c r="AP21" s="30"/>
      <c r="AQ21" s="30"/>
      <c r="AR21" s="30"/>
      <c r="AS21" s="30"/>
      <c r="AT21" s="30"/>
      <c r="AU21" s="30"/>
      <c r="BB21" s="31"/>
      <c r="BC21" s="115"/>
      <c r="BD21" s="30"/>
    </row>
    <row r="22" spans="3:56" ht="25.5" x14ac:dyDescent="0.25">
      <c r="C22" s="26"/>
      <c r="D22" s="110" t="s">
        <v>9</v>
      </c>
      <c r="E22" s="150"/>
      <c r="F22" s="150"/>
      <c r="J22" s="116" t="s">
        <v>10</v>
      </c>
      <c r="K22" s="150"/>
      <c r="L22" s="150"/>
      <c r="M22" s="150"/>
      <c r="N22" s="118"/>
      <c r="O22" s="28"/>
      <c r="R22" s="26"/>
      <c r="S22" s="29"/>
      <c r="U22" s="30"/>
      <c r="V22" s="30"/>
      <c r="W22" s="30"/>
      <c r="X22" s="30"/>
      <c r="Y22" s="30"/>
      <c r="Z22" s="30"/>
      <c r="AA22" s="30"/>
      <c r="AB22" s="136" t="s">
        <v>11</v>
      </c>
      <c r="AC22" s="137"/>
      <c r="AD22" s="136" t="s">
        <v>12</v>
      </c>
      <c r="AE22" s="137"/>
      <c r="AF22" s="136" t="s">
        <v>13</v>
      </c>
      <c r="AG22" s="137"/>
      <c r="AH22" s="31"/>
      <c r="AI22"/>
      <c r="AJ22"/>
      <c r="AM22" s="29"/>
      <c r="AO22" s="30"/>
      <c r="AP22" s="30"/>
      <c r="AQ22" s="30"/>
      <c r="AR22" s="30"/>
      <c r="AS22" s="30"/>
      <c r="AT22" s="30"/>
      <c r="AU22" s="30"/>
      <c r="AV22" s="136" t="s">
        <v>11</v>
      </c>
      <c r="AW22" s="137"/>
      <c r="AX22" s="136" t="s">
        <v>12</v>
      </c>
      <c r="AY22" s="137"/>
      <c r="AZ22" s="136" t="s">
        <v>13</v>
      </c>
      <c r="BA22" s="137"/>
      <c r="BB22" s="31"/>
      <c r="BC22" s="115"/>
      <c r="BD22" s="30"/>
    </row>
    <row r="23" spans="3:56" ht="8.1" customHeight="1" x14ac:dyDescent="0.25">
      <c r="C23" s="34"/>
      <c r="D23" s="122"/>
      <c r="E23" s="123"/>
      <c r="F23" s="123"/>
      <c r="G23" s="35"/>
      <c r="H23" s="35"/>
      <c r="I23" s="35"/>
      <c r="J23" s="35"/>
      <c r="K23" s="35"/>
      <c r="L23" s="35"/>
      <c r="M23" s="35"/>
      <c r="N23" s="35"/>
      <c r="O23" s="36"/>
      <c r="R23" s="26"/>
      <c r="S23" s="26"/>
      <c r="T23" s="143" t="s">
        <v>14</v>
      </c>
      <c r="U23" s="143"/>
      <c r="V23" s="143"/>
      <c r="W23" s="143"/>
      <c r="X23" s="143"/>
      <c r="Y23" s="143"/>
      <c r="Z23" s="143"/>
      <c r="AA23" s="144"/>
      <c r="AB23" s="150"/>
      <c r="AC23" s="150"/>
      <c r="AD23" s="150"/>
      <c r="AE23" s="150"/>
      <c r="AF23" s="150"/>
      <c r="AG23" s="150"/>
      <c r="AH23" s="28"/>
      <c r="AM23" s="26"/>
      <c r="AN23" s="143" t="s">
        <v>14</v>
      </c>
      <c r="AO23" s="143"/>
      <c r="AP23" s="143"/>
      <c r="AQ23" s="143"/>
      <c r="AR23" s="143"/>
      <c r="AS23" s="143"/>
      <c r="AT23" s="143"/>
      <c r="AU23" s="144"/>
      <c r="AV23" s="150"/>
      <c r="AW23" s="150"/>
      <c r="AX23" s="150"/>
      <c r="AY23" s="150"/>
      <c r="AZ23" s="150"/>
      <c r="BA23" s="150"/>
      <c r="BB23" s="28"/>
      <c r="BC23" s="115"/>
      <c r="BD23" s="30"/>
    </row>
    <row r="24" spans="3:56" ht="8.1" customHeight="1" x14ac:dyDescent="0.25">
      <c r="R24" s="26"/>
      <c r="S24" s="26"/>
      <c r="T24" s="143"/>
      <c r="U24" s="143"/>
      <c r="V24" s="143"/>
      <c r="W24" s="143"/>
      <c r="X24" s="143"/>
      <c r="Y24" s="143"/>
      <c r="Z24" s="143"/>
      <c r="AA24" s="144"/>
      <c r="AB24" s="150"/>
      <c r="AC24" s="150"/>
      <c r="AD24" s="150"/>
      <c r="AE24" s="150"/>
      <c r="AF24" s="150"/>
      <c r="AG24" s="150"/>
      <c r="AH24" s="28"/>
      <c r="AM24" s="26"/>
      <c r="AN24" s="143"/>
      <c r="AO24" s="143"/>
      <c r="AP24" s="143"/>
      <c r="AQ24" s="143"/>
      <c r="AR24" s="143"/>
      <c r="AS24" s="143"/>
      <c r="AT24" s="143"/>
      <c r="AU24" s="144"/>
      <c r="AV24" s="150"/>
      <c r="AW24" s="150"/>
      <c r="AX24" s="150"/>
      <c r="AY24" s="150"/>
      <c r="AZ24" s="150"/>
      <c r="BA24" s="150"/>
      <c r="BB24" s="28"/>
      <c r="BC24" s="115"/>
      <c r="BD24" s="30"/>
    </row>
    <row r="25" spans="3:56" ht="7.5" customHeight="1" x14ac:dyDescent="0.25">
      <c r="C25" s="23"/>
      <c r="D25" s="24"/>
      <c r="E25" s="114"/>
      <c r="F25" s="114"/>
      <c r="G25" s="24"/>
      <c r="H25" s="24"/>
      <c r="I25" s="24"/>
      <c r="J25" s="24"/>
      <c r="K25" s="24"/>
      <c r="L25" s="24"/>
      <c r="M25" s="24"/>
      <c r="N25" s="24"/>
      <c r="O25" s="25"/>
      <c r="R25" s="26"/>
      <c r="S25" s="34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6"/>
      <c r="AM25" s="124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6"/>
      <c r="BC25" s="115"/>
      <c r="BD25" s="30"/>
    </row>
    <row r="26" spans="3:56" ht="12.95" customHeight="1" x14ac:dyDescent="0.25">
      <c r="C26" s="26"/>
      <c r="E26" s="139" t="s">
        <v>15</v>
      </c>
      <c r="F26" s="139"/>
      <c r="G26" s="139"/>
      <c r="H26" s="139"/>
      <c r="I26" s="139"/>
      <c r="J26" s="140"/>
      <c r="K26" s="150"/>
      <c r="L26" s="150"/>
      <c r="M26" s="150"/>
      <c r="O26" s="28"/>
      <c r="R26" s="34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6"/>
      <c r="BD26" s="30"/>
    </row>
    <row r="27" spans="3:56" ht="12.6" customHeight="1" x14ac:dyDescent="0.25">
      <c r="C27" s="26"/>
      <c r="E27" s="139"/>
      <c r="F27" s="139"/>
      <c r="G27" s="139"/>
      <c r="H27" s="139"/>
      <c r="I27" s="139"/>
      <c r="J27" s="140"/>
      <c r="K27" s="150"/>
      <c r="L27" s="150"/>
      <c r="M27" s="150"/>
      <c r="N27" s="118"/>
      <c r="O27" s="28"/>
      <c r="AG27" s="127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</row>
    <row r="28" spans="3:56" ht="7.5" customHeight="1" x14ac:dyDescent="0.2">
      <c r="C28" s="26"/>
      <c r="D28" s="119"/>
      <c r="O28" s="28"/>
      <c r="R28" s="138" t="s">
        <v>16</v>
      </c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</row>
    <row r="29" spans="3:56" ht="24.95" customHeight="1" x14ac:dyDescent="0.2">
      <c r="C29" s="26"/>
      <c r="D29" s="142" t="s">
        <v>17</v>
      </c>
      <c r="E29" s="154"/>
      <c r="F29" s="155"/>
      <c r="G29" s="156"/>
      <c r="J29" s="139" t="s">
        <v>18</v>
      </c>
      <c r="K29" s="154"/>
      <c r="L29" s="155"/>
      <c r="M29" s="156"/>
      <c r="O29" s="2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</row>
    <row r="30" spans="3:56" ht="7.5" customHeight="1" x14ac:dyDescent="0.2">
      <c r="C30" s="26"/>
      <c r="D30" s="142"/>
      <c r="E30" s="157"/>
      <c r="F30" s="158"/>
      <c r="G30" s="159"/>
      <c r="J30" s="139"/>
      <c r="K30" s="157"/>
      <c r="L30" s="158"/>
      <c r="M30" s="159"/>
      <c r="O30" s="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</row>
    <row r="31" spans="3:56" ht="16.5" customHeight="1" x14ac:dyDescent="0.2">
      <c r="C31" s="26"/>
      <c r="D31" s="142"/>
      <c r="E31" s="160"/>
      <c r="F31" s="161"/>
      <c r="G31" s="162"/>
      <c r="H31" s="121"/>
      <c r="I31" s="121"/>
      <c r="J31" s="139"/>
      <c r="K31" s="160"/>
      <c r="L31" s="161"/>
      <c r="M31" s="162"/>
      <c r="N31" s="121"/>
      <c r="O31" s="28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</row>
    <row r="32" spans="3:56" ht="7.5" customHeight="1" x14ac:dyDescent="0.2">
      <c r="C32" s="26"/>
      <c r="D32" s="110"/>
      <c r="G32" s="110"/>
      <c r="H32" s="110"/>
      <c r="I32" s="110"/>
      <c r="J32" s="108"/>
      <c r="K32" s="116"/>
      <c r="L32" s="118"/>
      <c r="M32" s="118"/>
      <c r="N32" s="118"/>
      <c r="O32" s="28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</row>
    <row r="33" spans="1:55" x14ac:dyDescent="0.2">
      <c r="C33" s="26"/>
      <c r="D33" s="110" t="s">
        <v>19</v>
      </c>
      <c r="E33" s="150"/>
      <c r="F33" s="150"/>
      <c r="G33" s="150"/>
      <c r="H33" s="121"/>
      <c r="I33" s="121"/>
      <c r="J33" s="116" t="s">
        <v>19</v>
      </c>
      <c r="K33" s="150"/>
      <c r="L33" s="150"/>
      <c r="M33" s="150"/>
      <c r="N33" s="121"/>
      <c r="O33" s="28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</row>
    <row r="34" spans="1:55" ht="7.5" customHeight="1" x14ac:dyDescent="0.2">
      <c r="C34" s="26"/>
      <c r="D34" s="110"/>
      <c r="G34" s="110"/>
      <c r="H34" s="110"/>
      <c r="I34" s="110"/>
      <c r="J34" s="116"/>
      <c r="K34" s="108"/>
      <c r="L34" s="118"/>
      <c r="M34" s="118"/>
      <c r="N34" s="118"/>
      <c r="O34" s="28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</row>
    <row r="35" spans="1:55" x14ac:dyDescent="0.2">
      <c r="C35" s="26"/>
      <c r="D35" s="110" t="s">
        <v>20</v>
      </c>
      <c r="E35" s="164"/>
      <c r="F35" s="164"/>
      <c r="G35" s="164"/>
      <c r="H35" s="129"/>
      <c r="I35" s="129"/>
      <c r="J35" s="116" t="s">
        <v>20</v>
      </c>
      <c r="K35" s="164"/>
      <c r="L35" s="164"/>
      <c r="M35" s="164"/>
      <c r="N35" s="129"/>
      <c r="O35" s="28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</row>
    <row r="36" spans="1:55" ht="7.5" customHeight="1" x14ac:dyDescent="0.2">
      <c r="C36" s="26"/>
      <c r="D36" s="108"/>
      <c r="G36" s="108"/>
      <c r="H36" s="108"/>
      <c r="I36" s="108"/>
      <c r="J36" s="108"/>
      <c r="K36" s="108"/>
      <c r="O36" s="28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</row>
    <row r="37" spans="1:55" ht="25.5" x14ac:dyDescent="0.2">
      <c r="C37" s="26"/>
      <c r="D37" s="110" t="s">
        <v>21</v>
      </c>
      <c r="E37" s="165"/>
      <c r="F37" s="165"/>
      <c r="G37" s="165"/>
      <c r="H37" s="121"/>
      <c r="I37" s="121"/>
      <c r="J37" s="116" t="s">
        <v>22</v>
      </c>
      <c r="K37" s="165"/>
      <c r="L37" s="165"/>
      <c r="M37" s="165"/>
      <c r="N37" s="121"/>
      <c r="O37" s="28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</row>
    <row r="38" spans="1:55" ht="7.5" customHeight="1" x14ac:dyDescent="0.2">
      <c r="C38" s="26"/>
      <c r="D38" s="108"/>
      <c r="G38" s="108"/>
      <c r="H38" s="108"/>
      <c r="I38" s="108"/>
      <c r="J38" s="108"/>
      <c r="K38" s="108"/>
      <c r="O38" s="28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</row>
    <row r="39" spans="1:55" ht="20.45" customHeight="1" x14ac:dyDescent="0.2">
      <c r="C39" s="26"/>
      <c r="D39" s="110" t="s">
        <v>23</v>
      </c>
      <c r="E39" s="150"/>
      <c r="F39" s="150"/>
      <c r="G39" s="150"/>
      <c r="H39" s="121"/>
      <c r="I39" s="121"/>
      <c r="J39" s="116" t="s">
        <v>24</v>
      </c>
      <c r="K39" s="150"/>
      <c r="L39" s="150"/>
      <c r="M39" s="150"/>
      <c r="N39" s="118"/>
      <c r="O39" s="28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</row>
    <row r="40" spans="1:55" ht="7.5" customHeight="1" x14ac:dyDescent="0.2">
      <c r="C40" s="26"/>
      <c r="D40" s="110"/>
      <c r="E40" s="121"/>
      <c r="F40" s="121"/>
      <c r="G40" s="121"/>
      <c r="H40" s="121"/>
      <c r="I40" s="121"/>
      <c r="J40" s="116"/>
      <c r="K40" s="118"/>
      <c r="L40" s="118"/>
      <c r="M40" s="118"/>
      <c r="N40" s="118"/>
      <c r="O40" s="28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</row>
    <row r="41" spans="1:55" ht="3.75" customHeight="1" x14ac:dyDescent="0.2">
      <c r="C41" s="26"/>
      <c r="D41" s="110"/>
      <c r="E41" s="121"/>
      <c r="F41" s="121"/>
      <c r="G41" s="121"/>
      <c r="H41" s="121"/>
      <c r="I41" s="121"/>
      <c r="J41" s="116"/>
      <c r="K41" s="116"/>
      <c r="L41" s="121"/>
      <c r="M41" s="121"/>
      <c r="N41" s="121"/>
      <c r="O41" s="28"/>
    </row>
    <row r="42" spans="1:55" ht="3.75" customHeight="1" x14ac:dyDescent="0.2">
      <c r="C42" s="26"/>
      <c r="D42" s="110"/>
      <c r="E42" s="121"/>
      <c r="F42" s="121"/>
      <c r="G42" s="121"/>
      <c r="H42" s="121"/>
      <c r="I42" s="121"/>
      <c r="J42" s="116"/>
      <c r="K42" s="116"/>
      <c r="L42" s="121"/>
      <c r="M42" s="121"/>
      <c r="N42" s="121"/>
      <c r="O42" s="28"/>
    </row>
    <row r="43" spans="1:55" ht="29.1" customHeight="1" x14ac:dyDescent="0.2">
      <c r="C43" s="26"/>
      <c r="J43" s="139" t="s">
        <v>25</v>
      </c>
      <c r="K43" s="139"/>
      <c r="L43" s="139"/>
      <c r="M43" s="117"/>
      <c r="N43" s="121"/>
      <c r="O43" s="28"/>
      <c r="R43" s="148" t="s">
        <v>26</v>
      </c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</row>
    <row r="44" spans="1:55" ht="8.4499999999999993" customHeight="1" x14ac:dyDescent="0.2">
      <c r="C44" s="26"/>
      <c r="O44" s="28"/>
    </row>
    <row r="45" spans="1:55" ht="29.1" customHeight="1" x14ac:dyDescent="0.2">
      <c r="C45" s="26"/>
      <c r="J45" s="139" t="s">
        <v>27</v>
      </c>
      <c r="K45" s="139"/>
      <c r="L45" s="139"/>
      <c r="M45" s="117">
        <f>+SUM(L51:L107)</f>
        <v>0</v>
      </c>
      <c r="N45" s="121"/>
      <c r="O45" s="28"/>
      <c r="R45" s="148" t="s">
        <v>28</v>
      </c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</row>
    <row r="46" spans="1:55" ht="8.4499999999999993" customHeight="1" x14ac:dyDescent="0.2">
      <c r="C46" s="34"/>
      <c r="D46" s="35"/>
      <c r="E46" s="123"/>
      <c r="F46" s="123"/>
      <c r="G46" s="35"/>
      <c r="H46" s="35"/>
      <c r="I46" s="35"/>
      <c r="J46" s="35"/>
      <c r="K46" s="35"/>
      <c r="L46" s="35"/>
      <c r="M46" s="35"/>
      <c r="N46" s="35"/>
      <c r="O46" s="36"/>
    </row>
    <row r="47" spans="1:55" ht="8.4499999999999993" customHeight="1" x14ac:dyDescent="0.2"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</row>
    <row r="48" spans="1:55" ht="8.4499999999999993" customHeight="1" x14ac:dyDescent="0.2">
      <c r="A48" s="131"/>
    </row>
    <row r="49" spans="4:54" ht="24.95" customHeight="1" x14ac:dyDescent="0.2">
      <c r="D49" s="149" t="s">
        <v>29</v>
      </c>
      <c r="E49" s="149"/>
      <c r="F49" s="149"/>
      <c r="G49" s="149"/>
      <c r="I49" s="28"/>
      <c r="J49" s="149" t="s">
        <v>30</v>
      </c>
      <c r="K49" s="149"/>
      <c r="L49" s="149"/>
      <c r="M49" s="149"/>
      <c r="N49" s="132"/>
    </row>
    <row r="50" spans="4:54" ht="20.100000000000001" customHeight="1" x14ac:dyDescent="0.2">
      <c r="D50" s="133" t="s">
        <v>31</v>
      </c>
      <c r="E50" s="133" t="s">
        <v>32</v>
      </c>
      <c r="F50" s="133" t="s">
        <v>34</v>
      </c>
      <c r="G50" s="133" t="s">
        <v>35</v>
      </c>
      <c r="H50" s="135"/>
      <c r="I50" s="135"/>
      <c r="J50" s="133" t="s">
        <v>31</v>
      </c>
      <c r="K50" s="133" t="s">
        <v>33</v>
      </c>
      <c r="L50" s="133" t="s">
        <v>34</v>
      </c>
      <c r="M50" s="133" t="s">
        <v>35</v>
      </c>
      <c r="N50" s="134"/>
    </row>
    <row r="51" spans="4:54" x14ac:dyDescent="0.2">
      <c r="D51" s="121"/>
      <c r="G51" s="121"/>
      <c r="H51" s="121"/>
      <c r="I51" s="121"/>
      <c r="J51" s="121"/>
      <c r="K51" s="108"/>
      <c r="L51" s="121"/>
      <c r="M51" s="121"/>
      <c r="N51" s="121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</row>
    <row r="52" spans="4:54" x14ac:dyDescent="0.2">
      <c r="D52" s="121"/>
      <c r="G52" s="121"/>
      <c r="H52" s="121"/>
      <c r="I52" s="121"/>
      <c r="J52" s="121"/>
      <c r="K52" s="108"/>
      <c r="L52" s="121"/>
      <c r="M52" s="121"/>
      <c r="N52" s="121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</row>
    <row r="53" spans="4:54" x14ac:dyDescent="0.2">
      <c r="D53" s="121"/>
      <c r="G53" s="121"/>
      <c r="H53" s="121"/>
      <c r="I53" s="121"/>
      <c r="J53" s="121"/>
      <c r="K53" s="108"/>
      <c r="L53" s="121"/>
      <c r="M53" s="121"/>
      <c r="N53" s="121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</row>
    <row r="54" spans="4:54" x14ac:dyDescent="0.2">
      <c r="D54" s="121"/>
      <c r="G54" s="121"/>
      <c r="H54" s="121"/>
      <c r="I54" s="121"/>
      <c r="J54" s="121"/>
      <c r="K54" s="108"/>
      <c r="L54" s="121"/>
      <c r="M54" s="121"/>
      <c r="N54" s="121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</row>
    <row r="55" spans="4:54" x14ac:dyDescent="0.2">
      <c r="D55" s="121"/>
      <c r="G55" s="121"/>
      <c r="H55" s="121"/>
      <c r="I55" s="121"/>
      <c r="J55" s="121"/>
      <c r="K55" s="108"/>
      <c r="L55" s="121"/>
      <c r="M55" s="121"/>
      <c r="N55" s="121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</row>
    <row r="56" spans="4:54" x14ac:dyDescent="0.2">
      <c r="D56" s="121"/>
      <c r="G56" s="121"/>
      <c r="H56" s="121"/>
      <c r="I56" s="121"/>
      <c r="J56" s="121"/>
      <c r="K56" s="108"/>
      <c r="L56" s="121"/>
      <c r="M56" s="121"/>
      <c r="N56" s="121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</row>
    <row r="57" spans="4:54" x14ac:dyDescent="0.2">
      <c r="D57" s="121"/>
      <c r="G57" s="121"/>
      <c r="H57" s="121"/>
      <c r="I57" s="121"/>
      <c r="J57" s="121"/>
      <c r="K57" s="108"/>
      <c r="L57" s="121"/>
      <c r="M57" s="121"/>
      <c r="N57" s="121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</row>
    <row r="58" spans="4:54" x14ac:dyDescent="0.2">
      <c r="D58" s="121"/>
      <c r="G58" s="121"/>
      <c r="H58" s="121"/>
      <c r="I58" s="121"/>
      <c r="J58" s="121"/>
      <c r="K58" s="108"/>
      <c r="L58" s="121"/>
      <c r="M58" s="121"/>
      <c r="N58" s="121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</row>
    <row r="59" spans="4:54" x14ac:dyDescent="0.2">
      <c r="D59" s="121"/>
      <c r="G59" s="121"/>
      <c r="H59" s="121"/>
      <c r="I59" s="121"/>
      <c r="J59" s="121"/>
      <c r="K59" s="108"/>
      <c r="L59" s="121"/>
      <c r="M59" s="121"/>
      <c r="N59" s="121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</row>
    <row r="60" spans="4:54" x14ac:dyDescent="0.2">
      <c r="D60" s="121"/>
      <c r="G60" s="121"/>
      <c r="H60" s="121"/>
      <c r="I60" s="121"/>
      <c r="J60" s="121"/>
      <c r="K60" s="108"/>
      <c r="L60" s="121"/>
      <c r="M60" s="121"/>
      <c r="N60" s="121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</row>
    <row r="61" spans="4:54" x14ac:dyDescent="0.2">
      <c r="D61" s="121"/>
      <c r="G61" s="121"/>
      <c r="H61" s="121"/>
      <c r="I61" s="121"/>
      <c r="J61" s="121"/>
      <c r="K61" s="108"/>
      <c r="L61" s="121"/>
      <c r="M61" s="121"/>
      <c r="N61" s="121"/>
    </row>
    <row r="62" spans="4:54" x14ac:dyDescent="0.2">
      <c r="D62" s="121"/>
      <c r="G62" s="121"/>
      <c r="H62" s="121"/>
      <c r="I62" s="121"/>
      <c r="J62" s="121"/>
      <c r="K62" s="108"/>
      <c r="L62" s="121"/>
      <c r="M62" s="121"/>
      <c r="N62" s="121"/>
    </row>
    <row r="63" spans="4:54" x14ac:dyDescent="0.2">
      <c r="D63" s="121"/>
      <c r="G63" s="121"/>
      <c r="H63" s="121"/>
      <c r="I63" s="121"/>
      <c r="J63" s="121"/>
      <c r="K63" s="108"/>
      <c r="L63" s="121"/>
      <c r="M63" s="121"/>
      <c r="N63" s="121"/>
    </row>
    <row r="64" spans="4:54" x14ac:dyDescent="0.2">
      <c r="D64" s="121"/>
      <c r="G64" s="121"/>
      <c r="H64" s="121"/>
      <c r="I64" s="121"/>
      <c r="J64" s="121"/>
      <c r="K64" s="108"/>
      <c r="L64" s="121"/>
      <c r="M64" s="121"/>
      <c r="N64" s="121"/>
    </row>
    <row r="65" spans="4:14" x14ac:dyDescent="0.2">
      <c r="D65" s="121"/>
      <c r="J65" s="121"/>
      <c r="K65" s="108"/>
      <c r="L65" s="121"/>
      <c r="M65" s="121"/>
      <c r="N65" s="121"/>
    </row>
    <row r="66" spans="4:14" x14ac:dyDescent="0.2">
      <c r="D66" s="121"/>
      <c r="J66" s="121"/>
      <c r="K66" s="108"/>
      <c r="L66" s="121"/>
      <c r="M66" s="121"/>
      <c r="N66" s="121"/>
    </row>
    <row r="67" spans="4:14" x14ac:dyDescent="0.2">
      <c r="D67" s="121"/>
      <c r="J67" s="121"/>
      <c r="K67" s="108"/>
      <c r="L67" s="121"/>
      <c r="M67" s="121"/>
      <c r="N67" s="121"/>
    </row>
    <row r="68" spans="4:14" ht="12.6" customHeight="1" x14ac:dyDescent="0.2">
      <c r="D68" s="121"/>
      <c r="J68" s="121"/>
      <c r="K68" s="108"/>
      <c r="L68" s="121"/>
      <c r="M68" s="121"/>
      <c r="N68" s="121"/>
    </row>
    <row r="69" spans="4:14" ht="12.6" customHeight="1" x14ac:dyDescent="0.2">
      <c r="D69" s="118"/>
      <c r="J69" s="118"/>
      <c r="K69" s="108"/>
      <c r="L69" s="121"/>
      <c r="M69" s="121"/>
      <c r="N69" s="121"/>
    </row>
    <row r="70" spans="4:14" ht="12.6" customHeight="1" x14ac:dyDescent="0.2">
      <c r="D70" s="118"/>
      <c r="J70" s="118"/>
      <c r="K70" s="108"/>
      <c r="L70" s="121"/>
      <c r="M70" s="121"/>
      <c r="N70" s="121"/>
    </row>
    <row r="71" spans="4:14" x14ac:dyDescent="0.2">
      <c r="D71" s="118"/>
      <c r="J71" s="118"/>
      <c r="K71" s="108"/>
      <c r="L71" s="121"/>
      <c r="M71" s="121"/>
      <c r="N71" s="121"/>
    </row>
    <row r="72" spans="4:14" ht="12.6" customHeight="1" x14ac:dyDescent="0.2">
      <c r="D72" s="118"/>
      <c r="J72" s="118"/>
      <c r="K72" s="108"/>
      <c r="L72" s="121"/>
      <c r="M72" s="121"/>
      <c r="N72" s="121"/>
    </row>
    <row r="73" spans="4:14" ht="12.6" customHeight="1" x14ac:dyDescent="0.2">
      <c r="D73" s="118"/>
      <c r="J73" s="118"/>
      <c r="K73" s="108"/>
      <c r="L73" s="121"/>
      <c r="M73" s="121"/>
      <c r="N73" s="121"/>
    </row>
    <row r="74" spans="4:14" ht="12.6" customHeight="1" x14ac:dyDescent="0.2">
      <c r="D74" s="118"/>
      <c r="J74" s="118"/>
      <c r="K74" s="108"/>
      <c r="L74" s="121"/>
      <c r="M74" s="121"/>
      <c r="N74" s="121"/>
    </row>
    <row r="75" spans="4:14" x14ac:dyDescent="0.2">
      <c r="D75" s="118"/>
      <c r="J75" s="118"/>
      <c r="K75" s="108"/>
      <c r="L75" s="121"/>
      <c r="M75" s="121"/>
      <c r="N75" s="121"/>
    </row>
    <row r="76" spans="4:14" x14ac:dyDescent="0.2">
      <c r="D76" s="118"/>
      <c r="J76" s="118"/>
      <c r="K76" s="108"/>
      <c r="L76" s="121"/>
      <c r="M76" s="121"/>
      <c r="N76" s="121"/>
    </row>
    <row r="77" spans="4:14" x14ac:dyDescent="0.2">
      <c r="D77" s="118"/>
      <c r="J77" s="118"/>
      <c r="K77" s="108"/>
      <c r="L77" s="121"/>
      <c r="M77" s="121"/>
      <c r="N77" s="121"/>
    </row>
    <row r="78" spans="4:14" x14ac:dyDescent="0.2">
      <c r="D78" s="118"/>
      <c r="J78" s="118"/>
      <c r="K78" s="108"/>
      <c r="L78" s="121"/>
      <c r="M78" s="121"/>
      <c r="N78" s="121"/>
    </row>
    <row r="79" spans="4:14" x14ac:dyDescent="0.2">
      <c r="D79" s="118"/>
      <c r="J79" s="118"/>
      <c r="K79" s="108"/>
      <c r="L79" s="121"/>
      <c r="M79" s="121"/>
      <c r="N79" s="121"/>
    </row>
    <row r="80" spans="4:14" x14ac:dyDescent="0.2">
      <c r="D80" s="118"/>
      <c r="J80" s="118"/>
      <c r="K80" s="108"/>
      <c r="L80" s="121"/>
      <c r="M80" s="121"/>
      <c r="N80" s="121"/>
    </row>
    <row r="81" spans="4:14" x14ac:dyDescent="0.2">
      <c r="D81" s="118"/>
      <c r="J81" s="118"/>
      <c r="K81" s="108"/>
      <c r="L81" s="121"/>
      <c r="M81" s="121"/>
      <c r="N81" s="121"/>
    </row>
    <row r="82" spans="4:14" x14ac:dyDescent="0.2">
      <c r="D82" s="118"/>
      <c r="J82" s="118"/>
      <c r="K82" s="108"/>
      <c r="L82" s="121"/>
      <c r="M82" s="121"/>
      <c r="N82" s="121"/>
    </row>
    <row r="83" spans="4:14" x14ac:dyDescent="0.2">
      <c r="D83" s="118"/>
      <c r="J83" s="118"/>
      <c r="K83" s="108"/>
      <c r="L83" s="121"/>
      <c r="M83" s="121"/>
      <c r="N83" s="121"/>
    </row>
    <row r="84" spans="4:14" x14ac:dyDescent="0.2">
      <c r="D84" s="118"/>
      <c r="J84" s="118"/>
      <c r="K84" s="108"/>
      <c r="L84" s="121"/>
      <c r="M84" s="121"/>
      <c r="N84" s="121"/>
    </row>
    <row r="85" spans="4:14" x14ac:dyDescent="0.2">
      <c r="D85" s="118"/>
      <c r="J85" s="118"/>
      <c r="K85" s="108"/>
      <c r="L85" s="121"/>
      <c r="M85" s="121"/>
      <c r="N85" s="121"/>
    </row>
    <row r="86" spans="4:14" x14ac:dyDescent="0.2">
      <c r="D86" s="118"/>
      <c r="J86" s="118"/>
      <c r="K86" s="108"/>
      <c r="L86" s="121"/>
      <c r="M86" s="121"/>
      <c r="N86" s="121"/>
    </row>
    <row r="87" spans="4:14" x14ac:dyDescent="0.2">
      <c r="D87" s="118"/>
      <c r="J87" s="118"/>
      <c r="K87" s="108"/>
      <c r="L87" s="121"/>
      <c r="M87" s="121"/>
      <c r="N87" s="121"/>
    </row>
    <row r="88" spans="4:14" x14ac:dyDescent="0.2"/>
    <row r="89" spans="4:14" x14ac:dyDescent="0.2"/>
    <row r="90" spans="4:14" x14ac:dyDescent="0.2"/>
    <row r="91" spans="4:14" x14ac:dyDescent="0.2"/>
    <row r="92" spans="4:14" x14ac:dyDescent="0.2"/>
    <row r="93" spans="4:14" x14ac:dyDescent="0.2"/>
    <row r="94" spans="4:14" x14ac:dyDescent="0.2"/>
    <row r="95" spans="4:14" x14ac:dyDescent="0.2"/>
    <row r="96" spans="4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</sheetData>
  <mergeCells count="52">
    <mergeCell ref="R43:BC43"/>
    <mergeCell ref="J45:L45"/>
    <mergeCell ref="R45:BC45"/>
    <mergeCell ref="J49:M49"/>
    <mergeCell ref="D49:G49"/>
    <mergeCell ref="J43:L43"/>
    <mergeCell ref="E26:J27"/>
    <mergeCell ref="K26:M27"/>
    <mergeCell ref="R28:BC29"/>
    <mergeCell ref="D29:D31"/>
    <mergeCell ref="E29:G31"/>
    <mergeCell ref="J29:J31"/>
    <mergeCell ref="K29:M31"/>
    <mergeCell ref="R31:BC40"/>
    <mergeCell ref="E33:G33"/>
    <mergeCell ref="K33:M33"/>
    <mergeCell ref="E35:G35"/>
    <mergeCell ref="K35:M35"/>
    <mergeCell ref="E37:G37"/>
    <mergeCell ref="K37:M37"/>
    <mergeCell ref="E39:G39"/>
    <mergeCell ref="K39:M39"/>
    <mergeCell ref="AX22:AY22"/>
    <mergeCell ref="AZ22:BA22"/>
    <mergeCell ref="T23:AA24"/>
    <mergeCell ref="AB23:AC24"/>
    <mergeCell ref="AD23:AE24"/>
    <mergeCell ref="AF23:AG24"/>
    <mergeCell ref="AN23:AU24"/>
    <mergeCell ref="AV23:AW24"/>
    <mergeCell ref="AX23:AY24"/>
    <mergeCell ref="AZ23:BA24"/>
    <mergeCell ref="AV22:AW22"/>
    <mergeCell ref="E22:F22"/>
    <mergeCell ref="K22:M22"/>
    <mergeCell ref="AB22:AC22"/>
    <mergeCell ref="AD22:AE22"/>
    <mergeCell ref="AF22:AG22"/>
    <mergeCell ref="AQ20:BA20"/>
    <mergeCell ref="C13:O15"/>
    <mergeCell ref="S14:AH15"/>
    <mergeCell ref="AM14:BB15"/>
    <mergeCell ref="W17:AG18"/>
    <mergeCell ref="AQ17:BA18"/>
    <mergeCell ref="L18:M18"/>
    <mergeCell ref="T18:V18"/>
    <mergeCell ref="AN18:AP18"/>
    <mergeCell ref="E20:F20"/>
    <mergeCell ref="K20:M20"/>
    <mergeCell ref="T20:V20"/>
    <mergeCell ref="W20:AG20"/>
    <mergeCell ref="AN20:AP20"/>
  </mergeCells>
  <conditionalFormatting sqref="D51:E87">
    <cfRule type="expression" dxfId="33" priority="2">
      <formula>D51&lt;&gt;""</formula>
    </cfRule>
  </conditionalFormatting>
  <conditionalFormatting sqref="J51:N87">
    <cfRule type="expression" dxfId="32" priority="1">
      <formula>J51&lt;&gt;""</formula>
    </cfRule>
  </conditionalFormatting>
  <dataValidations count="3">
    <dataValidation type="list" allowBlank="1" showInputMessage="1" showErrorMessage="1" sqref="E22:F22" xr:uid="{BCB4C8F6-8451-4A8F-8BB2-B08DD58733BB}">
      <formula1>INDIRECT("TIPO_DOC")</formula1>
    </dataValidation>
    <dataValidation type="list" allowBlank="1" showInputMessage="1" showErrorMessage="1" sqref="K26:M27" xr:uid="{E3DF7916-E45F-48CA-BB0B-6AD0AC3471AD}">
      <formula1>INDIRECT("NIVELES")</formula1>
    </dataValidation>
    <dataValidation type="list" allowBlank="1" showInputMessage="1" showErrorMessage="1" sqref="K20:M20" xr:uid="{EC7CD336-78EE-4FD6-A11A-D5BD8119CF1C}">
      <formula1>INDIRECT("FORMACION")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scale="65" fitToHeight="0" pageOrder="overThenDown" orientation="portrait" r:id="rId1"/>
  <headerFooter>
    <oddFooter>&amp;R&amp;P de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9FE2-BA1B-44C2-B2B9-754E2EC53865}">
  <sheetPr codeName="Hoja4"/>
  <dimension ref="A2:AR745"/>
  <sheetViews>
    <sheetView showGridLines="0" topLeftCell="A710" zoomScale="85" zoomScaleNormal="85" workbookViewId="0">
      <selection activeCell="G717" sqref="G717"/>
    </sheetView>
  </sheetViews>
  <sheetFormatPr baseColWidth="10" defaultColWidth="0" defaultRowHeight="15" x14ac:dyDescent="0.25"/>
  <cols>
    <col min="1" max="2" width="11.42578125" customWidth="1"/>
    <col min="3" max="3" width="17" customWidth="1"/>
    <col min="4" max="4" width="32.42578125" customWidth="1"/>
    <col min="5" max="5" width="16.140625" customWidth="1"/>
    <col min="6" max="6" width="76.140625" customWidth="1"/>
    <col min="7" max="7" width="22.5703125" customWidth="1"/>
    <col min="8" max="8" width="46.140625" customWidth="1"/>
    <col min="9" max="10" width="18.42578125" customWidth="1"/>
    <col min="11" max="14" width="21" customWidth="1"/>
    <col min="15" max="15" width="11.42578125" customWidth="1"/>
    <col min="16" max="18" width="26.28515625" customWidth="1"/>
    <col min="19" max="19" width="29.5703125" customWidth="1"/>
    <col min="20" max="20" width="11.42578125" customWidth="1"/>
    <col min="21" max="23" width="24.5703125" style="2" customWidth="1"/>
    <col min="24" max="24" width="28.140625" customWidth="1"/>
    <col min="25" max="25" width="25.140625" customWidth="1"/>
    <col min="26" max="26" width="42.28515625" customWidth="1"/>
    <col min="27" max="30" width="11.42578125" customWidth="1"/>
    <col min="31" max="31" width="31.5703125" customWidth="1"/>
    <col min="32" max="32" width="11.42578125" customWidth="1"/>
    <col min="33" max="33" width="17.5703125" customWidth="1"/>
    <col min="34" max="38" width="11.42578125" customWidth="1"/>
    <col min="39" max="39" width="22.85546875" customWidth="1"/>
    <col min="40" max="44" width="11.42578125" customWidth="1"/>
    <col min="45" max="16384" width="11.42578125" hidden="1"/>
  </cols>
  <sheetData>
    <row r="2" spans="3:39" x14ac:dyDescent="0.25">
      <c r="C2" s="12" t="s">
        <v>36</v>
      </c>
      <c r="D2" s="12" t="s">
        <v>37</v>
      </c>
      <c r="E2" s="12" t="s">
        <v>31</v>
      </c>
      <c r="F2" s="12" t="s">
        <v>32</v>
      </c>
      <c r="G2" s="12" t="s">
        <v>38</v>
      </c>
      <c r="H2" s="12" t="s">
        <v>33</v>
      </c>
      <c r="I2" s="12" t="s">
        <v>39</v>
      </c>
      <c r="J2" s="12" t="s">
        <v>35</v>
      </c>
      <c r="K2" s="12" t="s">
        <v>40</v>
      </c>
      <c r="N2" s="9" t="s">
        <v>41</v>
      </c>
      <c r="P2" t="s">
        <v>41</v>
      </c>
      <c r="Q2" t="s">
        <v>36</v>
      </c>
      <c r="S2" s="44" t="s">
        <v>42</v>
      </c>
      <c r="U2" s="2" t="s">
        <v>42</v>
      </c>
      <c r="V2" s="2" t="s">
        <v>43</v>
      </c>
      <c r="X2" s="53" t="s">
        <v>44</v>
      </c>
      <c r="Y2" s="9" t="s">
        <v>31</v>
      </c>
      <c r="Z2" s="9" t="s">
        <v>33</v>
      </c>
      <c r="AA2" s="9" t="s">
        <v>43</v>
      </c>
      <c r="AC2" t="s">
        <v>36</v>
      </c>
      <c r="AE2" t="s">
        <v>45</v>
      </c>
      <c r="AG2" t="s">
        <v>46</v>
      </c>
      <c r="AI2" t="s">
        <v>47</v>
      </c>
      <c r="AK2" t="s">
        <v>48</v>
      </c>
      <c r="AM2" s="50" t="s">
        <v>49</v>
      </c>
    </row>
    <row r="3" spans="3:39" ht="45" x14ac:dyDescent="0.25">
      <c r="C3" s="1" t="str">
        <f>_xlfn.XLOOKUP(Tabla9[[#This Row],[PROGRAMA ORIGEN]],PROGRAMAS_N[PROGRAMAS ORIGEN],PROGRAMAS_N[NIVEL],"")</f>
        <v>TECNÓLOGO</v>
      </c>
      <c r="D3" s="13" t="s">
        <v>50</v>
      </c>
      <c r="E3" s="14">
        <v>280201169</v>
      </c>
      <c r="F3" s="10" t="s">
        <v>51</v>
      </c>
      <c r="G3" s="10" cm="1">
        <f t="array" ref="G3">+_xlfn.XLOOKUP(Tabla9[[#This Row],[ESPACIO ACADÉMICO DESTINO]]&amp;Tabla9[[#This Row],[PROGRAMA DESTINO]],Tabla49[ESPACIO ACADÉMICO DESTINO]&amp;Tabla49[PROGRAMA],Tabla49[CÓDIGO],"")</f>
        <v>48132</v>
      </c>
      <c r="H3" s="10" t="s">
        <v>52</v>
      </c>
      <c r="I3" s="14" cm="1">
        <f t="array" ref="I3">+_xlfn.XLOOKUP(Tabla9[[#This Row],[ESPACIO ACADÉMICO DESTINO]]&amp;Tabla9[[#This Row],[PROGRAMA DESTINO]],Tabla49[ESPACIO ACADÉMICO DESTINO]&amp;Tabla49[PROGRAMA],Tabla49[CRÉDITOS],"")</f>
        <v>3</v>
      </c>
      <c r="J3" s="14">
        <v>4.5</v>
      </c>
      <c r="K3" s="10" t="s">
        <v>53</v>
      </c>
      <c r="L3" s="1"/>
      <c r="M3" s="1"/>
      <c r="N3" s="20" t="s">
        <v>54</v>
      </c>
      <c r="P3" s="3" t="s">
        <v>50</v>
      </c>
      <c r="Q3" s="17" t="s">
        <v>55</v>
      </c>
      <c r="R3" s="2"/>
      <c r="S3" s="5" t="s">
        <v>53</v>
      </c>
      <c r="U3" s="5" t="s">
        <v>53</v>
      </c>
      <c r="V3" s="41">
        <f>+GETPIVOTDATA("CRÉDITOS",'Hoja1 (2)'!$S$3,"PROGRAMA","ADMINISTRACIÓN AMBIENTAL Y DE LOS RECURSOS NATURALES")</f>
        <v>137</v>
      </c>
      <c r="W3" s="1"/>
      <c r="X3" s="52" t="s">
        <v>53</v>
      </c>
      <c r="Y3" s="8">
        <v>15135</v>
      </c>
      <c r="Z3" s="7" t="s">
        <v>56</v>
      </c>
      <c r="AA3" s="11">
        <v>2</v>
      </c>
      <c r="AC3" t="s">
        <v>57</v>
      </c>
      <c r="AE3" t="s">
        <v>58</v>
      </c>
      <c r="AG3" t="s">
        <v>59</v>
      </c>
      <c r="AI3" t="s">
        <v>60</v>
      </c>
      <c r="AK3">
        <v>2020</v>
      </c>
      <c r="AM3" s="48" t="s">
        <v>61</v>
      </c>
    </row>
    <row r="4" spans="3:39" ht="45" x14ac:dyDescent="0.25">
      <c r="C4" s="1" t="str">
        <f>_xlfn.XLOOKUP(Tabla9[[#This Row],[PROGRAMA ORIGEN]],PROGRAMAS_N[PROGRAMAS ORIGEN],PROGRAMAS_N[NIVEL],"")</f>
        <v>TECNÓLOGO</v>
      </c>
      <c r="D4" s="13" t="s">
        <v>50</v>
      </c>
      <c r="E4" s="14">
        <v>280201169</v>
      </c>
      <c r="F4" s="10" t="s">
        <v>51</v>
      </c>
      <c r="G4" s="10" cm="1">
        <f t="array" ref="G4">+_xlfn.XLOOKUP(Tabla9[[#This Row],[ESPACIO ACADÉMICO DESTINO]]&amp;Tabla9[[#This Row],[PROGRAMA DESTINO]],Tabla49[ESPACIO ACADÉMICO DESTINO]&amp;Tabla49[PROGRAMA],Tabla49[CÓDIGO],"")</f>
        <v>16987</v>
      </c>
      <c r="H4" s="10" t="s">
        <v>62</v>
      </c>
      <c r="I4" s="14" cm="1">
        <f t="array" ref="I4">+_xlfn.XLOOKUP(Tabla9[[#This Row],[ESPACIO ACADÉMICO DESTINO]]&amp;Tabla9[[#This Row],[PROGRAMA DESTINO]],Tabla49[ESPACIO ACADÉMICO DESTINO]&amp;Tabla49[PROGRAMA],Tabla49[CRÉDITOS],"")</f>
        <v>2</v>
      </c>
      <c r="J4" s="14">
        <v>4.5</v>
      </c>
      <c r="K4" s="10" t="s">
        <v>53</v>
      </c>
      <c r="L4" s="1"/>
      <c r="M4" s="1"/>
      <c r="N4" s="20" t="s">
        <v>63</v>
      </c>
      <c r="P4" s="3" t="s">
        <v>64</v>
      </c>
      <c r="Q4" s="17" t="s">
        <v>55</v>
      </c>
      <c r="R4" s="2"/>
      <c r="S4" s="21" t="s">
        <v>65</v>
      </c>
      <c r="U4" s="21" t="s">
        <v>65</v>
      </c>
      <c r="V4" s="2">
        <v>138</v>
      </c>
      <c r="X4" s="52" t="s">
        <v>53</v>
      </c>
      <c r="Y4" s="8">
        <v>16570</v>
      </c>
      <c r="Z4" s="8" t="s">
        <v>66</v>
      </c>
      <c r="AA4" s="8">
        <v>2</v>
      </c>
      <c r="AC4" t="s">
        <v>55</v>
      </c>
      <c r="AE4" t="s">
        <v>67</v>
      </c>
      <c r="AG4" t="s">
        <v>68</v>
      </c>
      <c r="AI4">
        <v>4.5</v>
      </c>
      <c r="AK4">
        <v>2021</v>
      </c>
      <c r="AM4" s="49" t="s">
        <v>69</v>
      </c>
    </row>
    <row r="5" spans="3:39" ht="45" x14ac:dyDescent="0.25">
      <c r="C5" s="1" t="str">
        <f>_xlfn.XLOOKUP(Tabla9[[#This Row],[PROGRAMA ORIGEN]],PROGRAMAS_N[PROGRAMAS ORIGEN],PROGRAMAS_N[NIVEL],"")</f>
        <v>TECNÓLOGO</v>
      </c>
      <c r="D5" s="13" t="s">
        <v>50</v>
      </c>
      <c r="E5" s="14">
        <v>280201169</v>
      </c>
      <c r="F5" s="10" t="s">
        <v>51</v>
      </c>
      <c r="G5" s="10" cm="1">
        <f t="array" ref="G5">+_xlfn.XLOOKUP(Tabla9[[#This Row],[ESPACIO ACADÉMICO DESTINO]]&amp;Tabla9[[#This Row],[PROGRAMA DESTINO]],Tabla49[ESPACIO ACADÉMICO DESTINO]&amp;Tabla49[PROGRAMA],Tabla49[CÓDIGO],"")</f>
        <v>48148</v>
      </c>
      <c r="H5" s="10" t="s">
        <v>70</v>
      </c>
      <c r="I5" s="14" cm="1">
        <f t="array" ref="I5">+_xlfn.XLOOKUP(Tabla9[[#This Row],[ESPACIO ACADÉMICO DESTINO]]&amp;Tabla9[[#This Row],[PROGRAMA DESTINO]],Tabla49[ESPACIO ACADÉMICO DESTINO]&amp;Tabla49[PROGRAMA],Tabla49[CRÉDITOS],"")</f>
        <v>2</v>
      </c>
      <c r="J5" s="14">
        <v>4.5</v>
      </c>
      <c r="K5" s="10" t="s">
        <v>53</v>
      </c>
      <c r="L5" s="1"/>
      <c r="M5" s="1"/>
      <c r="N5" s="20" t="s">
        <v>71</v>
      </c>
      <c r="P5" s="3" t="s">
        <v>72</v>
      </c>
      <c r="Q5" s="17" t="s">
        <v>55</v>
      </c>
      <c r="R5" s="2"/>
      <c r="S5" s="5" t="s">
        <v>73</v>
      </c>
      <c r="U5" s="6" t="s">
        <v>73</v>
      </c>
      <c r="V5" s="1">
        <v>151</v>
      </c>
      <c r="W5" s="1"/>
      <c r="X5" s="52" t="s">
        <v>53</v>
      </c>
      <c r="Y5" s="8">
        <v>48131</v>
      </c>
      <c r="Z5" s="7" t="s">
        <v>74</v>
      </c>
      <c r="AA5" s="8">
        <v>2</v>
      </c>
      <c r="AE5" t="s">
        <v>75</v>
      </c>
      <c r="AM5" s="48" t="s">
        <v>76</v>
      </c>
    </row>
    <row r="6" spans="3:39" ht="45" x14ac:dyDescent="0.25">
      <c r="C6" s="1" t="str">
        <f>_xlfn.XLOOKUP(Tabla9[[#This Row],[PROGRAMA ORIGEN]],PROGRAMAS_N[PROGRAMAS ORIGEN],PROGRAMAS_N[NIVEL],"")</f>
        <v>TECNÓLOGO</v>
      </c>
      <c r="D6" s="13" t="s">
        <v>50</v>
      </c>
      <c r="E6" s="14">
        <v>280201169</v>
      </c>
      <c r="F6" s="10" t="s">
        <v>51</v>
      </c>
      <c r="G6" s="10" cm="1">
        <f t="array" ref="G6">+_xlfn.XLOOKUP(Tabla9[[#This Row],[ESPACIO ACADÉMICO DESTINO]]&amp;Tabla9[[#This Row],[PROGRAMA DESTINO]],Tabla49[ESPACIO ACADÉMICO DESTINO]&amp;Tabla49[PROGRAMA],Tabla49[CÓDIGO],"")</f>
        <v>48149</v>
      </c>
      <c r="H6" s="10" t="s">
        <v>77</v>
      </c>
      <c r="I6" s="14" cm="1">
        <f t="array" ref="I6">+_xlfn.XLOOKUP(Tabla9[[#This Row],[ESPACIO ACADÉMICO DESTINO]]&amp;Tabla9[[#This Row],[PROGRAMA DESTINO]],Tabla49[ESPACIO ACADÉMICO DESTINO]&amp;Tabla49[PROGRAMA],Tabla49[CRÉDITOS],"")</f>
        <v>2</v>
      </c>
      <c r="J6" s="14">
        <v>4.5</v>
      </c>
      <c r="K6" s="10" t="s">
        <v>53</v>
      </c>
      <c r="L6" s="1"/>
      <c r="M6" s="1"/>
      <c r="N6" s="20" t="s">
        <v>78</v>
      </c>
      <c r="P6" s="3" t="s">
        <v>79</v>
      </c>
      <c r="Q6" s="17" t="s">
        <v>55</v>
      </c>
      <c r="R6" s="2"/>
      <c r="S6" s="42" t="s">
        <v>80</v>
      </c>
      <c r="U6" s="6" t="s">
        <v>80</v>
      </c>
      <c r="V6" s="1">
        <v>144</v>
      </c>
      <c r="W6" s="1"/>
      <c r="X6" s="52" t="s">
        <v>53</v>
      </c>
      <c r="Y6" s="8">
        <v>48132</v>
      </c>
      <c r="Z6" s="8" t="s">
        <v>52</v>
      </c>
      <c r="AA6" s="8">
        <v>3</v>
      </c>
      <c r="AE6" t="s">
        <v>81</v>
      </c>
      <c r="AM6" s="49" t="s">
        <v>82</v>
      </c>
    </row>
    <row r="7" spans="3:39" ht="60" x14ac:dyDescent="0.25">
      <c r="C7" s="1" t="str">
        <f>_xlfn.XLOOKUP(Tabla9[[#This Row],[PROGRAMA ORIGEN]],PROGRAMAS_N[PROGRAMAS ORIGEN],PROGRAMAS_N[NIVEL],"")</f>
        <v>TECNÓLOGO</v>
      </c>
      <c r="D7" s="13" t="s">
        <v>50</v>
      </c>
      <c r="E7" s="14">
        <v>280201169</v>
      </c>
      <c r="F7" s="10" t="s">
        <v>51</v>
      </c>
      <c r="G7" s="10" cm="1">
        <f t="array" ref="G7">+_xlfn.XLOOKUP(Tabla9[[#This Row],[ESPACIO ACADÉMICO DESTINO]]&amp;Tabla9[[#This Row],[PROGRAMA DESTINO]],Tabla49[ESPACIO ACADÉMICO DESTINO]&amp;Tabla49[PROGRAMA],Tabla49[CÓDIGO],"")</f>
        <v>48157</v>
      </c>
      <c r="H7" s="10" t="s">
        <v>83</v>
      </c>
      <c r="I7" s="14" cm="1">
        <f t="array" ref="I7">+_xlfn.XLOOKUP(Tabla9[[#This Row],[ESPACIO ACADÉMICO DESTINO]]&amp;Tabla9[[#This Row],[PROGRAMA DESTINO]],Tabla49[ESPACIO ACADÉMICO DESTINO]&amp;Tabla49[PROGRAMA],Tabla49[CRÉDITOS],"")</f>
        <v>2</v>
      </c>
      <c r="J7" s="14">
        <v>4.5</v>
      </c>
      <c r="K7" s="10" t="s">
        <v>53</v>
      </c>
      <c r="L7" s="1"/>
      <c r="M7" s="1"/>
      <c r="N7" s="20" t="s">
        <v>84</v>
      </c>
      <c r="P7" s="3" t="s">
        <v>78</v>
      </c>
      <c r="Q7" s="17" t="s">
        <v>55</v>
      </c>
      <c r="R7" s="2"/>
      <c r="S7" s="5" t="s">
        <v>85</v>
      </c>
      <c r="U7" s="6" t="s">
        <v>85</v>
      </c>
      <c r="V7" s="1">
        <v>150</v>
      </c>
      <c r="W7" s="1"/>
      <c r="X7" s="52" t="s">
        <v>53</v>
      </c>
      <c r="Y7" s="8">
        <v>48133</v>
      </c>
      <c r="Z7" s="7" t="s">
        <v>86</v>
      </c>
      <c r="AA7" s="8">
        <v>3</v>
      </c>
      <c r="AE7" t="s">
        <v>87</v>
      </c>
      <c r="AM7" s="48" t="s">
        <v>88</v>
      </c>
    </row>
    <row r="8" spans="3:39" ht="60" x14ac:dyDescent="0.25">
      <c r="C8" s="1" t="str">
        <f>_xlfn.XLOOKUP(Tabla9[[#This Row],[PROGRAMA ORIGEN]],PROGRAMAS_N[PROGRAMAS ORIGEN],PROGRAMAS_N[NIVEL],"")</f>
        <v>TECNÓLOGO</v>
      </c>
      <c r="D8" s="13" t="s">
        <v>50</v>
      </c>
      <c r="E8" s="14">
        <v>280201170</v>
      </c>
      <c r="F8" s="10" t="s">
        <v>89</v>
      </c>
      <c r="G8" s="10" cm="1">
        <f t="array" ref="G8">+_xlfn.XLOOKUP(Tabla9[[#This Row],[ESPACIO ACADÉMICO DESTINO]]&amp;Tabla9[[#This Row],[PROGRAMA DESTINO]],Tabla49[ESPACIO ACADÉMICO DESTINO]&amp;Tabla49[PROGRAMA],Tabla49[CÓDIGO],"")</f>
        <v>73514</v>
      </c>
      <c r="H8" s="10" t="s">
        <v>90</v>
      </c>
      <c r="I8" s="14" cm="1">
        <f t="array" ref="I8">+_xlfn.XLOOKUP(Tabla9[[#This Row],[ESPACIO ACADÉMICO DESTINO]]&amp;Tabla9[[#This Row],[PROGRAMA DESTINO]],Tabla49[ESPACIO ACADÉMICO DESTINO]&amp;Tabla49[PROGRAMA],Tabla49[CRÉDITOS],"")</f>
        <v>3</v>
      </c>
      <c r="J8" s="14">
        <v>4.5</v>
      </c>
      <c r="K8" s="10" t="s">
        <v>53</v>
      </c>
      <c r="L8" s="1"/>
      <c r="M8" s="1"/>
      <c r="N8" s="20" t="s">
        <v>91</v>
      </c>
      <c r="P8" s="3" t="s">
        <v>92</v>
      </c>
      <c r="Q8" s="18" t="s">
        <v>57</v>
      </c>
      <c r="R8" s="2"/>
      <c r="S8" s="20" t="s">
        <v>93</v>
      </c>
      <c r="U8" s="2" t="s">
        <v>93</v>
      </c>
      <c r="V8" s="2">
        <v>157</v>
      </c>
      <c r="X8" s="52" t="s">
        <v>53</v>
      </c>
      <c r="Y8" s="8">
        <v>48134</v>
      </c>
      <c r="Z8" s="8" t="s">
        <v>94</v>
      </c>
      <c r="AA8" s="8">
        <v>3</v>
      </c>
      <c r="AE8" t="s">
        <v>95</v>
      </c>
      <c r="AM8" s="49" t="s">
        <v>96</v>
      </c>
    </row>
    <row r="9" spans="3:39" ht="45" x14ac:dyDescent="0.25">
      <c r="C9" s="1" t="str">
        <f>_xlfn.XLOOKUP(Tabla9[[#This Row],[PROGRAMA ORIGEN]],PROGRAMAS_N[PROGRAMAS ORIGEN],PROGRAMAS_N[NIVEL],"")</f>
        <v>TECNÓLOGO</v>
      </c>
      <c r="D9" s="13" t="s">
        <v>50</v>
      </c>
      <c r="E9" s="14">
        <v>280201170</v>
      </c>
      <c r="F9" s="10" t="s">
        <v>89</v>
      </c>
      <c r="G9" s="10" cm="1">
        <f t="array" ref="G9">+_xlfn.XLOOKUP(Tabla9[[#This Row],[ESPACIO ACADÉMICO DESTINO]]&amp;Tabla9[[#This Row],[PROGRAMA DESTINO]],Tabla49[ESPACIO ACADÉMICO DESTINO]&amp;Tabla49[PROGRAMA],Tabla49[CÓDIGO],"")</f>
        <v>48167</v>
      </c>
      <c r="H9" s="10" t="s">
        <v>97</v>
      </c>
      <c r="I9" s="14" cm="1">
        <f t="array" ref="I9">+_xlfn.XLOOKUP(Tabla9[[#This Row],[ESPACIO ACADÉMICO DESTINO]]&amp;Tabla9[[#This Row],[PROGRAMA DESTINO]],Tabla49[ESPACIO ACADÉMICO DESTINO]&amp;Tabla49[PROGRAMA],Tabla49[CRÉDITOS],"")</f>
        <v>3</v>
      </c>
      <c r="J9" s="14">
        <v>4.5</v>
      </c>
      <c r="K9" s="10" t="s">
        <v>53</v>
      </c>
      <c r="L9" s="1"/>
      <c r="M9" s="1"/>
      <c r="N9" s="20" t="s">
        <v>98</v>
      </c>
      <c r="P9" s="4" t="s">
        <v>99</v>
      </c>
      <c r="Q9" s="18" t="s">
        <v>57</v>
      </c>
      <c r="R9" s="2"/>
      <c r="S9" s="7" t="s">
        <v>100</v>
      </c>
      <c r="U9" s="1" t="s">
        <v>100</v>
      </c>
      <c r="V9" s="1">
        <v>164</v>
      </c>
      <c r="W9" s="1"/>
      <c r="X9" s="52" t="s">
        <v>53</v>
      </c>
      <c r="Y9" s="8">
        <v>95108</v>
      </c>
      <c r="Z9" s="7" t="s">
        <v>101</v>
      </c>
      <c r="AA9" s="8">
        <v>2</v>
      </c>
      <c r="AE9" t="s">
        <v>102</v>
      </c>
      <c r="AM9" s="51" t="s">
        <v>103</v>
      </c>
    </row>
    <row r="10" spans="3:39" ht="45" x14ac:dyDescent="0.25">
      <c r="C10" s="1" t="str">
        <f>_xlfn.XLOOKUP(Tabla9[[#This Row],[PROGRAMA ORIGEN]],PROGRAMAS_N[PROGRAMAS ORIGEN],PROGRAMAS_N[NIVEL],"")</f>
        <v>TECNÓLOGO</v>
      </c>
      <c r="D10" s="13" t="s">
        <v>50</v>
      </c>
      <c r="E10" s="14">
        <v>280201170</v>
      </c>
      <c r="F10" s="10" t="s">
        <v>89</v>
      </c>
      <c r="G10" s="10" cm="1">
        <f t="array" ref="G10">+_xlfn.XLOOKUP(Tabla9[[#This Row],[ESPACIO ACADÉMICO DESTINO]]&amp;Tabla9[[#This Row],[PROGRAMA DESTINO]],Tabla49[ESPACIO ACADÉMICO DESTINO]&amp;Tabla49[PROGRAMA],Tabla49[CÓDIGO],"")</f>
        <v>48161</v>
      </c>
      <c r="H10" s="10" t="s">
        <v>104</v>
      </c>
      <c r="I10" s="14" cm="1">
        <f t="array" ref="I10">+_xlfn.XLOOKUP(Tabla9[[#This Row],[ESPACIO ACADÉMICO DESTINO]]&amp;Tabla9[[#This Row],[PROGRAMA DESTINO]],Tabla49[ESPACIO ACADÉMICO DESTINO]&amp;Tabla49[PROGRAMA],Tabla49[CRÉDITOS],"")</f>
        <v>3</v>
      </c>
      <c r="J10" s="14">
        <v>4.5</v>
      </c>
      <c r="K10" s="10" t="s">
        <v>53</v>
      </c>
      <c r="L10" s="1"/>
      <c r="M10" s="1"/>
      <c r="N10" s="20" t="s">
        <v>105</v>
      </c>
      <c r="P10" s="4" t="s">
        <v>106</v>
      </c>
      <c r="Q10" s="18" t="s">
        <v>55</v>
      </c>
      <c r="R10" s="2"/>
      <c r="S10" s="20" t="s">
        <v>107</v>
      </c>
      <c r="U10" s="2" t="s">
        <v>107</v>
      </c>
      <c r="V10" s="2">
        <v>162</v>
      </c>
      <c r="X10" s="52" t="s">
        <v>53</v>
      </c>
      <c r="Y10" s="8">
        <v>16571</v>
      </c>
      <c r="Z10" s="8" t="s">
        <v>108</v>
      </c>
      <c r="AA10" s="8">
        <v>2</v>
      </c>
      <c r="AE10" t="s">
        <v>109</v>
      </c>
    </row>
    <row r="11" spans="3:39" ht="60" x14ac:dyDescent="0.25">
      <c r="C11" s="1" t="str">
        <f>_xlfn.XLOOKUP(Tabla9[[#This Row],[PROGRAMA ORIGEN]],PROGRAMAS_N[PROGRAMAS ORIGEN],PROGRAMAS_N[NIVEL],"")</f>
        <v>TECNÓLOGO</v>
      </c>
      <c r="D11" s="13" t="s">
        <v>50</v>
      </c>
      <c r="E11" s="14">
        <v>280201170</v>
      </c>
      <c r="F11" s="10" t="s">
        <v>89</v>
      </c>
      <c r="G11" s="10" cm="1">
        <f t="array" ref="G11">+_xlfn.XLOOKUP(Tabla9[[#This Row],[ESPACIO ACADÉMICO DESTINO]]&amp;Tabla9[[#This Row],[PROGRAMA DESTINO]],Tabla49[ESPACIO ACADÉMICO DESTINO]&amp;Tabla49[PROGRAMA],Tabla49[CÓDIGO],"")</f>
        <v>16423</v>
      </c>
      <c r="H11" s="10" t="s">
        <v>110</v>
      </c>
      <c r="I11" s="14" cm="1">
        <f t="array" ref="I11">+_xlfn.XLOOKUP(Tabla9[[#This Row],[ESPACIO ACADÉMICO DESTINO]]&amp;Tabla9[[#This Row],[PROGRAMA DESTINO]],Tabla49[ESPACIO ACADÉMICO DESTINO]&amp;Tabla49[PROGRAMA],Tabla49[CRÉDITOS],"")</f>
        <v>2</v>
      </c>
      <c r="J11" s="14">
        <v>4.5</v>
      </c>
      <c r="K11" s="10" t="s">
        <v>53</v>
      </c>
      <c r="L11" s="1"/>
      <c r="M11" s="1"/>
      <c r="N11" s="20" t="s">
        <v>106</v>
      </c>
      <c r="P11" s="4" t="s">
        <v>111</v>
      </c>
      <c r="Q11" s="18" t="s">
        <v>55</v>
      </c>
      <c r="R11" s="2"/>
      <c r="S11" s="43" t="s">
        <v>112</v>
      </c>
      <c r="U11" s="2" t="s">
        <v>112</v>
      </c>
      <c r="V11" s="2">
        <v>155</v>
      </c>
      <c r="X11" s="52" t="s">
        <v>53</v>
      </c>
      <c r="Y11" s="8">
        <v>16987</v>
      </c>
      <c r="Z11" s="7" t="s">
        <v>62</v>
      </c>
      <c r="AA11" s="8">
        <v>2</v>
      </c>
    </row>
    <row r="12" spans="3:39" ht="45" x14ac:dyDescent="0.25">
      <c r="C12" s="1" t="str">
        <f>_xlfn.XLOOKUP(Tabla9[[#This Row],[PROGRAMA ORIGEN]],PROGRAMAS_N[PROGRAMAS ORIGEN],PROGRAMAS_N[NIVEL],"")</f>
        <v>TECNÓLOGO</v>
      </c>
      <c r="D12" s="13" t="s">
        <v>50</v>
      </c>
      <c r="E12" s="14">
        <v>280201170</v>
      </c>
      <c r="F12" s="10" t="s">
        <v>89</v>
      </c>
      <c r="G12" s="10" cm="1">
        <f t="array" ref="G12">+_xlfn.XLOOKUP(Tabla9[[#This Row],[ESPACIO ACADÉMICO DESTINO]]&amp;Tabla9[[#This Row],[PROGRAMA DESTINO]],Tabla49[ESPACIO ACADÉMICO DESTINO]&amp;Tabla49[PROGRAMA],Tabla49[CÓDIGO],"")</f>
        <v>48170</v>
      </c>
      <c r="H12" s="10" t="s">
        <v>113</v>
      </c>
      <c r="I12" s="14" cm="1">
        <f t="array" ref="I12">+_xlfn.XLOOKUP(Tabla9[[#This Row],[ESPACIO ACADÉMICO DESTINO]]&amp;Tabla9[[#This Row],[PROGRAMA DESTINO]],Tabla49[ESPACIO ACADÉMICO DESTINO]&amp;Tabla49[PROGRAMA],Tabla49[CRÉDITOS],"")</f>
        <v>3</v>
      </c>
      <c r="J12" s="14">
        <v>4.5</v>
      </c>
      <c r="K12" s="10" t="s">
        <v>53</v>
      </c>
      <c r="L12" s="1"/>
      <c r="M12" s="1"/>
      <c r="N12" s="20" t="s">
        <v>114</v>
      </c>
      <c r="P12" s="3" t="s">
        <v>115</v>
      </c>
      <c r="Q12" s="18" t="s">
        <v>55</v>
      </c>
      <c r="R12" s="2"/>
      <c r="S12" s="16" t="s">
        <v>116</v>
      </c>
      <c r="U12" s="2" t="s">
        <v>116</v>
      </c>
      <c r="V12" s="2">
        <v>166</v>
      </c>
      <c r="X12" s="52" t="s">
        <v>53</v>
      </c>
      <c r="Y12" s="8">
        <v>48143</v>
      </c>
      <c r="Z12" s="8" t="s">
        <v>117</v>
      </c>
      <c r="AA12" s="8">
        <v>2</v>
      </c>
    </row>
    <row r="13" spans="3:39" ht="45" x14ac:dyDescent="0.25">
      <c r="C13" s="1" t="str">
        <f>_xlfn.XLOOKUP(Tabla9[[#This Row],[PROGRAMA ORIGEN]],PROGRAMAS_N[PROGRAMAS ORIGEN],PROGRAMAS_N[NIVEL],"")</f>
        <v>TECNÓLOGO</v>
      </c>
      <c r="D13" s="13" t="s">
        <v>50</v>
      </c>
      <c r="E13" s="14">
        <v>280201171</v>
      </c>
      <c r="F13" s="10" t="s">
        <v>118</v>
      </c>
      <c r="G13" s="10" cm="1">
        <f t="array" ref="G13">+_xlfn.XLOOKUP(Tabla9[[#This Row],[ESPACIO ACADÉMICO DESTINO]]&amp;Tabla9[[#This Row],[PROGRAMA DESTINO]],Tabla49[ESPACIO ACADÉMICO DESTINO]&amp;Tabla49[PROGRAMA],Tabla49[CÓDIGO],"")</f>
        <v>48158</v>
      </c>
      <c r="H13" s="10" t="s">
        <v>119</v>
      </c>
      <c r="I13" s="14" cm="1">
        <f t="array" ref="I13">+_xlfn.XLOOKUP(Tabla9[[#This Row],[ESPACIO ACADÉMICO DESTINO]]&amp;Tabla9[[#This Row],[PROGRAMA DESTINO]],Tabla49[ESPACIO ACADÉMICO DESTINO]&amp;Tabla49[PROGRAMA],Tabla49[CRÉDITOS],"")</f>
        <v>2</v>
      </c>
      <c r="J13" s="14">
        <v>4.5</v>
      </c>
      <c r="K13" s="10" t="s">
        <v>53</v>
      </c>
      <c r="L13" s="1"/>
      <c r="M13" s="1"/>
      <c r="N13" s="20" t="s">
        <v>92</v>
      </c>
      <c r="P13" s="4" t="s">
        <v>120</v>
      </c>
      <c r="Q13" s="18" t="s">
        <v>57</v>
      </c>
      <c r="R13" s="2"/>
      <c r="S13" s="2"/>
      <c r="X13" s="52" t="s">
        <v>53</v>
      </c>
      <c r="Y13" s="8">
        <v>48144</v>
      </c>
      <c r="Z13" s="7" t="s">
        <v>121</v>
      </c>
      <c r="AA13" s="8">
        <v>2</v>
      </c>
    </row>
    <row r="14" spans="3:39" ht="45" x14ac:dyDescent="0.25">
      <c r="C14" s="1" t="str">
        <f>_xlfn.XLOOKUP(Tabla9[[#This Row],[PROGRAMA ORIGEN]],PROGRAMAS_N[PROGRAMAS ORIGEN],PROGRAMAS_N[NIVEL],"")</f>
        <v>TECNÓLOGO</v>
      </c>
      <c r="D14" s="13" t="s">
        <v>50</v>
      </c>
      <c r="E14" s="14">
        <v>280201172</v>
      </c>
      <c r="F14" s="10" t="s">
        <v>118</v>
      </c>
      <c r="G14" s="10" cm="1">
        <f t="array" ref="G14">+_xlfn.XLOOKUP(Tabla9[[#This Row],[ESPACIO ACADÉMICO DESTINO]]&amp;Tabla9[[#This Row],[PROGRAMA DESTINO]],Tabla49[ESPACIO ACADÉMICO DESTINO]&amp;Tabla49[PROGRAMA],Tabla49[CÓDIGO],"")</f>
        <v>48168</v>
      </c>
      <c r="H14" s="10" t="s">
        <v>122</v>
      </c>
      <c r="I14" s="14" cm="1">
        <f t="array" ref="I14">+_xlfn.XLOOKUP(Tabla9[[#This Row],[ESPACIO ACADÉMICO DESTINO]]&amp;Tabla9[[#This Row],[PROGRAMA DESTINO]],Tabla49[ESPACIO ACADÉMICO DESTINO]&amp;Tabla49[PROGRAMA],Tabla49[CRÉDITOS],"")</f>
        <v>2</v>
      </c>
      <c r="J14" s="14">
        <v>4.5</v>
      </c>
      <c r="K14" s="10" t="s">
        <v>53</v>
      </c>
      <c r="L14" s="1"/>
      <c r="M14" s="1"/>
      <c r="N14" s="20" t="s">
        <v>123</v>
      </c>
      <c r="P14" s="4" t="s">
        <v>54</v>
      </c>
      <c r="Q14" s="18" t="s">
        <v>55</v>
      </c>
      <c r="R14" s="2"/>
      <c r="S14" s="2"/>
      <c r="X14" s="52" t="s">
        <v>53</v>
      </c>
      <c r="Y14" s="8">
        <v>48145</v>
      </c>
      <c r="Z14" s="8" t="s">
        <v>124</v>
      </c>
      <c r="AA14" s="8">
        <v>2</v>
      </c>
    </row>
    <row r="15" spans="3:39" ht="45" x14ac:dyDescent="0.25">
      <c r="C15" s="1" t="str">
        <f>_xlfn.XLOOKUP(Tabla9[[#This Row],[PROGRAMA ORIGEN]],PROGRAMAS_N[PROGRAMAS ORIGEN],PROGRAMAS_N[NIVEL],"")</f>
        <v>TECNÓLOGO</v>
      </c>
      <c r="D15" s="13" t="s">
        <v>50</v>
      </c>
      <c r="E15" s="14">
        <v>280201172</v>
      </c>
      <c r="F15" s="10" t="s">
        <v>125</v>
      </c>
      <c r="G15" s="10" cm="1">
        <f t="array" ref="G15">+_xlfn.XLOOKUP(Tabla9[[#This Row],[ESPACIO ACADÉMICO DESTINO]]&amp;Tabla9[[#This Row],[PROGRAMA DESTINO]],Tabla49[ESPACIO ACADÉMICO DESTINO]&amp;Tabla49[PROGRAMA],Tabla49[CÓDIGO],"")</f>
        <v>48156</v>
      </c>
      <c r="H15" s="10" t="s">
        <v>126</v>
      </c>
      <c r="I15" s="14" cm="1">
        <f t="array" ref="I15">+_xlfn.XLOOKUP(Tabla9[[#This Row],[ESPACIO ACADÉMICO DESTINO]]&amp;Tabla9[[#This Row],[PROGRAMA DESTINO]],Tabla49[ESPACIO ACADÉMICO DESTINO]&amp;Tabla49[PROGRAMA],Tabla49[CRÉDITOS],"")</f>
        <v>2</v>
      </c>
      <c r="J15" s="14">
        <v>4.5</v>
      </c>
      <c r="K15" s="10" t="s">
        <v>53</v>
      </c>
      <c r="L15" s="1"/>
      <c r="M15" s="1"/>
      <c r="N15" s="20" t="s">
        <v>127</v>
      </c>
      <c r="P15" s="4" t="s">
        <v>63</v>
      </c>
      <c r="Q15" s="18" t="s">
        <v>55</v>
      </c>
      <c r="R15" s="2"/>
      <c r="S15" s="2"/>
      <c r="X15" s="52" t="s">
        <v>53</v>
      </c>
      <c r="Y15" s="8">
        <v>48146</v>
      </c>
      <c r="Z15" s="7" t="s">
        <v>128</v>
      </c>
      <c r="AA15" s="8">
        <v>2</v>
      </c>
    </row>
    <row r="16" spans="3:39" ht="45" x14ac:dyDescent="0.25">
      <c r="C16" s="1" t="str">
        <f>_xlfn.XLOOKUP(Tabla9[[#This Row],[PROGRAMA ORIGEN]],PROGRAMAS_N[PROGRAMAS ORIGEN],PROGRAMAS_N[NIVEL],"")</f>
        <v>TECNÓLOGO</v>
      </c>
      <c r="D16" s="13" t="s">
        <v>50</v>
      </c>
      <c r="E16" s="14">
        <v>280201173</v>
      </c>
      <c r="F16" s="10" t="s">
        <v>125</v>
      </c>
      <c r="G16" s="10" cm="1">
        <f t="array" ref="G16">+_xlfn.XLOOKUP(Tabla9[[#This Row],[ESPACIO ACADÉMICO DESTINO]]&amp;Tabla9[[#This Row],[PROGRAMA DESTINO]],Tabla49[ESPACIO ACADÉMICO DESTINO]&amp;Tabla49[PROGRAMA],Tabla49[CÓDIGO],"")</f>
        <v>16617</v>
      </c>
      <c r="H16" s="10" t="s">
        <v>129</v>
      </c>
      <c r="I16" s="14" cm="1">
        <f t="array" ref="I16">+_xlfn.XLOOKUP(Tabla9[[#This Row],[ESPACIO ACADÉMICO DESTINO]]&amp;Tabla9[[#This Row],[PROGRAMA DESTINO]],Tabla49[ESPACIO ACADÉMICO DESTINO]&amp;Tabla49[PROGRAMA],Tabla49[CRÉDITOS],"")</f>
        <v>3</v>
      </c>
      <c r="J16" s="14">
        <v>4.5</v>
      </c>
      <c r="K16" s="10" t="s">
        <v>53</v>
      </c>
      <c r="L16" s="1"/>
      <c r="M16" s="1"/>
      <c r="N16" s="20" t="s">
        <v>130</v>
      </c>
      <c r="P16" s="4" t="s">
        <v>131</v>
      </c>
      <c r="Q16" s="18" t="s">
        <v>55</v>
      </c>
      <c r="R16" s="2"/>
      <c r="S16" s="2"/>
      <c r="X16" s="52" t="s">
        <v>53</v>
      </c>
      <c r="Y16" s="8">
        <v>73514</v>
      </c>
      <c r="Z16" s="8" t="s">
        <v>90</v>
      </c>
      <c r="AA16" s="8">
        <v>3</v>
      </c>
    </row>
    <row r="17" spans="3:27" ht="60" x14ac:dyDescent="0.25">
      <c r="C17" s="1" t="str">
        <f>_xlfn.XLOOKUP(Tabla9[[#This Row],[PROGRAMA ORIGEN]],PROGRAMAS_N[PROGRAMAS ORIGEN],PROGRAMAS_N[NIVEL],"")</f>
        <v>TECNÓLOGO</v>
      </c>
      <c r="D17" s="13" t="s">
        <v>50</v>
      </c>
      <c r="E17" s="14">
        <v>280201173</v>
      </c>
      <c r="F17" s="10" t="s">
        <v>132</v>
      </c>
      <c r="G17" s="10" cm="1">
        <f t="array" ref="G17">+_xlfn.XLOOKUP(Tabla9[[#This Row],[ESPACIO ACADÉMICO DESTINO]]&amp;Tabla9[[#This Row],[PROGRAMA DESTINO]],Tabla49[ESPACIO ACADÉMICO DESTINO]&amp;Tabla49[PROGRAMA],Tabla49[CÓDIGO],"")</f>
        <v>48152</v>
      </c>
      <c r="H17" s="10" t="s">
        <v>133</v>
      </c>
      <c r="I17" s="14" cm="1">
        <f t="array" ref="I17">+_xlfn.XLOOKUP(Tabla9[[#This Row],[ESPACIO ACADÉMICO DESTINO]]&amp;Tabla9[[#This Row],[PROGRAMA DESTINO]],Tabla49[ESPACIO ACADÉMICO DESTINO]&amp;Tabla49[PROGRAMA],Tabla49[CRÉDITOS],"")</f>
        <v>3</v>
      </c>
      <c r="J17" s="14">
        <v>4.5</v>
      </c>
      <c r="K17" s="10" t="s">
        <v>53</v>
      </c>
      <c r="L17" s="1"/>
      <c r="M17" s="1"/>
      <c r="N17" s="20" t="s">
        <v>134</v>
      </c>
      <c r="P17" s="4" t="s">
        <v>135</v>
      </c>
      <c r="Q17" s="18" t="s">
        <v>57</v>
      </c>
      <c r="R17" s="2"/>
      <c r="S17" s="2"/>
      <c r="X17" s="52" t="s">
        <v>53</v>
      </c>
      <c r="Y17" s="8">
        <v>95109</v>
      </c>
      <c r="Z17" s="7" t="s">
        <v>136</v>
      </c>
      <c r="AA17" s="8">
        <v>2</v>
      </c>
    </row>
    <row r="18" spans="3:27" ht="45" x14ac:dyDescent="0.25">
      <c r="C18" s="1" t="str">
        <f>_xlfn.XLOOKUP(Tabla9[[#This Row],[PROGRAMA ORIGEN]],PROGRAMAS_N[PROGRAMAS ORIGEN],PROGRAMAS_N[NIVEL],"")</f>
        <v>TECNÓLOGO</v>
      </c>
      <c r="D18" s="13" t="s">
        <v>50</v>
      </c>
      <c r="E18" s="14">
        <v>280201174</v>
      </c>
      <c r="F18" s="10" t="s">
        <v>132</v>
      </c>
      <c r="G18" s="10" cm="1">
        <f t="array" ref="G18">+_xlfn.XLOOKUP(Tabla9[[#This Row],[ESPACIO ACADÉMICO DESTINO]]&amp;Tabla9[[#This Row],[PROGRAMA DESTINO]],Tabla49[ESPACIO ACADÉMICO DESTINO]&amp;Tabla49[PROGRAMA],Tabla49[CÓDIGO],"")</f>
        <v>48171</v>
      </c>
      <c r="H18" s="10" t="s">
        <v>137</v>
      </c>
      <c r="I18" s="14" cm="1">
        <f t="array" ref="I18">+_xlfn.XLOOKUP(Tabla9[[#This Row],[ESPACIO ACADÉMICO DESTINO]]&amp;Tabla9[[#This Row],[PROGRAMA DESTINO]],Tabla49[ESPACIO ACADÉMICO DESTINO]&amp;Tabla49[PROGRAMA],Tabla49[CRÉDITOS],"")</f>
        <v>3</v>
      </c>
      <c r="J18" s="14">
        <v>4.5</v>
      </c>
      <c r="K18" s="10" t="s">
        <v>53</v>
      </c>
      <c r="L18" s="1"/>
      <c r="M18" s="1"/>
      <c r="N18" s="20" t="s">
        <v>64</v>
      </c>
      <c r="P18" s="4" t="s">
        <v>138</v>
      </c>
      <c r="Q18" s="18" t="s">
        <v>57</v>
      </c>
      <c r="R18" s="2"/>
      <c r="S18" s="2"/>
      <c r="X18" s="52" t="s">
        <v>53</v>
      </c>
      <c r="Y18" s="8">
        <v>16572</v>
      </c>
      <c r="Z18" s="8" t="s">
        <v>139</v>
      </c>
      <c r="AA18" s="8">
        <v>2</v>
      </c>
    </row>
    <row r="19" spans="3:27" ht="45" x14ac:dyDescent="0.25">
      <c r="C19" s="1" t="str">
        <f>_xlfn.XLOOKUP(Tabla9[[#This Row],[PROGRAMA ORIGEN]],PROGRAMAS_N[PROGRAMAS ORIGEN],PROGRAMAS_N[NIVEL],"")</f>
        <v>TECNÓLOGO</v>
      </c>
      <c r="D19" s="13" t="s">
        <v>50</v>
      </c>
      <c r="E19" s="14">
        <v>280201175</v>
      </c>
      <c r="F19" s="10" t="s">
        <v>132</v>
      </c>
      <c r="G19" s="10" cm="1">
        <f t="array" ref="G19">+_xlfn.XLOOKUP(Tabla9[[#This Row],[ESPACIO ACADÉMICO DESTINO]]&amp;Tabla9[[#This Row],[PROGRAMA DESTINO]],Tabla49[ESPACIO ACADÉMICO DESTINO]&amp;Tabla49[PROGRAMA],Tabla49[CÓDIGO],"")</f>
        <v>48166</v>
      </c>
      <c r="H19" s="10" t="s">
        <v>140</v>
      </c>
      <c r="I19" s="14" cm="1">
        <f t="array" ref="I19">+_xlfn.XLOOKUP(Tabla9[[#This Row],[ESPACIO ACADÉMICO DESTINO]]&amp;Tabla9[[#This Row],[PROGRAMA DESTINO]],Tabla49[ESPACIO ACADÉMICO DESTINO]&amp;Tabla49[PROGRAMA],Tabla49[CRÉDITOS],"")</f>
        <v>3</v>
      </c>
      <c r="J19" s="14">
        <v>4.5</v>
      </c>
      <c r="K19" s="10" t="s">
        <v>53</v>
      </c>
      <c r="L19" s="1"/>
      <c r="M19" s="1"/>
      <c r="N19" s="20" t="s">
        <v>141</v>
      </c>
      <c r="P19" s="4" t="s">
        <v>142</v>
      </c>
      <c r="Q19" s="18" t="s">
        <v>57</v>
      </c>
      <c r="R19" s="2"/>
      <c r="S19" s="2"/>
      <c r="X19" s="52" t="s">
        <v>53</v>
      </c>
      <c r="Y19" s="8">
        <v>16664</v>
      </c>
      <c r="Z19" s="7" t="s">
        <v>143</v>
      </c>
      <c r="AA19" s="8">
        <v>2</v>
      </c>
    </row>
    <row r="20" spans="3:27" ht="45" x14ac:dyDescent="0.25">
      <c r="C20" s="1" t="str">
        <f>_xlfn.XLOOKUP(Tabla9[[#This Row],[PROGRAMA ORIGEN]],PROGRAMAS_N[PROGRAMAS ORIGEN],PROGRAMAS_N[NIVEL],"")</f>
        <v>TECNÓLOGO</v>
      </c>
      <c r="D20" s="13" t="s">
        <v>50</v>
      </c>
      <c r="E20" s="15">
        <v>240201500</v>
      </c>
      <c r="F20" s="10" t="s">
        <v>144</v>
      </c>
      <c r="G20" s="10" cm="1">
        <f t="array" ref="G20">+_xlfn.XLOOKUP(Tabla9[[#This Row],[ESPACIO ACADÉMICO DESTINO]]&amp;Tabla9[[#This Row],[PROGRAMA DESTINO]],Tabla49[ESPACIO ACADÉMICO DESTINO]&amp;Tabla49[PROGRAMA],Tabla49[CÓDIGO],"")</f>
        <v>15135</v>
      </c>
      <c r="H20" s="10" t="s">
        <v>56</v>
      </c>
      <c r="I20" s="14" cm="1">
        <f t="array" ref="I20">+_xlfn.XLOOKUP(Tabla9[[#This Row],[ESPACIO ACADÉMICO DESTINO]]&amp;Tabla9[[#This Row],[PROGRAMA DESTINO]],Tabla49[ESPACIO ACADÉMICO DESTINO]&amp;Tabla49[PROGRAMA],Tabla49[CRÉDITOS],"")</f>
        <v>2</v>
      </c>
      <c r="J20" s="14">
        <v>4.5</v>
      </c>
      <c r="K20" s="10" t="s">
        <v>53</v>
      </c>
      <c r="L20" s="1"/>
      <c r="M20" s="1"/>
      <c r="N20" s="20" t="s">
        <v>145</v>
      </c>
      <c r="P20" s="4" t="s">
        <v>146</v>
      </c>
      <c r="Q20" s="18" t="s">
        <v>55</v>
      </c>
      <c r="R20" s="2"/>
      <c r="S20" s="2"/>
      <c r="X20" s="52" t="s">
        <v>53</v>
      </c>
      <c r="Y20" s="8">
        <v>16960</v>
      </c>
      <c r="Z20" s="8" t="s">
        <v>147</v>
      </c>
      <c r="AA20" s="8">
        <v>2</v>
      </c>
    </row>
    <row r="21" spans="3:27" ht="60" x14ac:dyDescent="0.25">
      <c r="C21" s="1" t="str">
        <f>_xlfn.XLOOKUP(Tabla9[[#This Row],[PROGRAMA ORIGEN]],PROGRAMAS_N[PROGRAMAS ORIGEN],PROGRAMAS_N[NIVEL],"")</f>
        <v>TECNÓLOGO</v>
      </c>
      <c r="D21" s="16" t="s">
        <v>64</v>
      </c>
      <c r="E21" s="14">
        <v>220201014</v>
      </c>
      <c r="F21" s="10" t="s">
        <v>148</v>
      </c>
      <c r="G21" s="10" cm="1">
        <f t="array" ref="G21">+_xlfn.XLOOKUP(Tabla9[[#This Row],[ESPACIO ACADÉMICO DESTINO]]&amp;Tabla9[[#This Row],[PROGRAMA DESTINO]],Tabla49[ESPACIO ACADÉMICO DESTINO]&amp;Tabla49[PROGRAMA],Tabla49[CÓDIGO],"")</f>
        <v>48133</v>
      </c>
      <c r="H21" s="10" t="s">
        <v>86</v>
      </c>
      <c r="I21" s="14" cm="1">
        <f t="array" ref="I21">+_xlfn.XLOOKUP(Tabla9[[#This Row],[ESPACIO ACADÉMICO DESTINO]]&amp;Tabla9[[#This Row],[PROGRAMA DESTINO]],Tabla49[ESPACIO ACADÉMICO DESTINO]&amp;Tabla49[PROGRAMA],Tabla49[CRÉDITOS],"")</f>
        <v>3</v>
      </c>
      <c r="J21" s="14">
        <v>4.5</v>
      </c>
      <c r="K21" s="10" t="s">
        <v>53</v>
      </c>
      <c r="L21" s="1"/>
      <c r="M21" s="1"/>
      <c r="N21" s="20" t="s">
        <v>135</v>
      </c>
      <c r="P21" s="4" t="s">
        <v>149</v>
      </c>
      <c r="Q21" s="18" t="s">
        <v>57</v>
      </c>
      <c r="R21" s="2"/>
      <c r="S21" s="2"/>
      <c r="X21" s="52" t="s">
        <v>53</v>
      </c>
      <c r="Y21" s="8">
        <v>48147</v>
      </c>
      <c r="Z21" s="7" t="s">
        <v>150</v>
      </c>
      <c r="AA21" s="8">
        <v>2</v>
      </c>
    </row>
    <row r="22" spans="3:27" ht="45" x14ac:dyDescent="0.25">
      <c r="C22" s="1" t="str">
        <f>_xlfn.XLOOKUP(Tabla9[[#This Row],[PROGRAMA ORIGEN]],PROGRAMAS_N[PROGRAMAS ORIGEN],PROGRAMAS_N[NIVEL],"")</f>
        <v>TECNÓLOGO</v>
      </c>
      <c r="D22" s="16" t="s">
        <v>64</v>
      </c>
      <c r="E22" s="14">
        <v>220201014</v>
      </c>
      <c r="F22" s="10" t="s">
        <v>148</v>
      </c>
      <c r="G22" s="10" cm="1">
        <f t="array" ref="G22">+_xlfn.XLOOKUP(Tabla9[[#This Row],[ESPACIO ACADÉMICO DESTINO]]&amp;Tabla9[[#This Row],[PROGRAMA DESTINO]],Tabla49[ESPACIO ACADÉMICO DESTINO]&amp;Tabla49[PROGRAMA],Tabla49[CÓDIGO],"")</f>
        <v>48132</v>
      </c>
      <c r="H22" s="10" t="s">
        <v>52</v>
      </c>
      <c r="I22" s="14" cm="1">
        <f t="array" ref="I22">+_xlfn.XLOOKUP(Tabla9[[#This Row],[ESPACIO ACADÉMICO DESTINO]]&amp;Tabla9[[#This Row],[PROGRAMA DESTINO]],Tabla49[ESPACIO ACADÉMICO DESTINO]&amp;Tabla49[PROGRAMA],Tabla49[CRÉDITOS],"")</f>
        <v>3</v>
      </c>
      <c r="J22" s="14">
        <v>4.5</v>
      </c>
      <c r="K22" s="10" t="s">
        <v>53</v>
      </c>
      <c r="L22" s="1"/>
      <c r="M22" s="1"/>
      <c r="N22" s="20" t="s">
        <v>151</v>
      </c>
      <c r="P22" s="4" t="s">
        <v>151</v>
      </c>
      <c r="Q22" s="18" t="s">
        <v>57</v>
      </c>
      <c r="R22" s="2"/>
      <c r="S22" s="2"/>
      <c r="X22" s="52" t="s">
        <v>53</v>
      </c>
      <c r="Y22" s="8">
        <v>48148</v>
      </c>
      <c r="Z22" s="8" t="s">
        <v>70</v>
      </c>
      <c r="AA22" s="8">
        <v>2</v>
      </c>
    </row>
    <row r="23" spans="3:27" ht="45" x14ac:dyDescent="0.25">
      <c r="C23" s="1" t="str">
        <f>_xlfn.XLOOKUP(Tabla9[[#This Row],[PROGRAMA ORIGEN]],PROGRAMAS_N[PROGRAMAS ORIGEN],PROGRAMAS_N[NIVEL],"")</f>
        <v>TECNÓLOGO</v>
      </c>
      <c r="D23" s="16" t="s">
        <v>64</v>
      </c>
      <c r="E23" s="14">
        <v>220201014</v>
      </c>
      <c r="F23" s="10" t="s">
        <v>148</v>
      </c>
      <c r="G23" s="10" cm="1">
        <f t="array" ref="G23">+_xlfn.XLOOKUP(Tabla9[[#This Row],[ESPACIO ACADÉMICO DESTINO]]&amp;Tabla9[[#This Row],[PROGRAMA DESTINO]],Tabla49[ESPACIO ACADÉMICO DESTINO]&amp;Tabla49[PROGRAMA],Tabla49[CÓDIGO],"")</f>
        <v>48148</v>
      </c>
      <c r="H23" s="10" t="s">
        <v>70</v>
      </c>
      <c r="I23" s="14" cm="1">
        <f t="array" ref="I23">+_xlfn.XLOOKUP(Tabla9[[#This Row],[ESPACIO ACADÉMICO DESTINO]]&amp;Tabla9[[#This Row],[PROGRAMA DESTINO]],Tabla49[ESPACIO ACADÉMICO DESTINO]&amp;Tabla49[PROGRAMA],Tabla49[CRÉDITOS],"")</f>
        <v>2</v>
      </c>
      <c r="J23" s="14">
        <v>4.5</v>
      </c>
      <c r="K23" s="10" t="s">
        <v>53</v>
      </c>
      <c r="L23" s="1"/>
      <c r="M23" s="1"/>
      <c r="N23" s="20" t="s">
        <v>152</v>
      </c>
      <c r="P23" s="4" t="s">
        <v>152</v>
      </c>
      <c r="Q23" s="18" t="s">
        <v>57</v>
      </c>
      <c r="R23" s="2"/>
      <c r="S23" s="2"/>
      <c r="X23" s="52" t="s">
        <v>53</v>
      </c>
      <c r="Y23" s="8">
        <v>48149</v>
      </c>
      <c r="Z23" s="8" t="s">
        <v>77</v>
      </c>
      <c r="AA23" s="8">
        <v>2</v>
      </c>
    </row>
    <row r="24" spans="3:27" ht="45" x14ac:dyDescent="0.25">
      <c r="C24" s="1" t="str">
        <f>_xlfn.XLOOKUP(Tabla9[[#This Row],[PROGRAMA ORIGEN]],PROGRAMAS_N[PROGRAMAS ORIGEN],PROGRAMAS_N[NIVEL],"")</f>
        <v>TECNÓLOGO</v>
      </c>
      <c r="D24" s="16" t="s">
        <v>64</v>
      </c>
      <c r="E24" s="14">
        <v>220201014</v>
      </c>
      <c r="F24" s="10" t="s">
        <v>148</v>
      </c>
      <c r="G24" s="10" cm="1">
        <f t="array" ref="G24">+_xlfn.XLOOKUP(Tabla9[[#This Row],[ESPACIO ACADÉMICO DESTINO]]&amp;Tabla9[[#This Row],[PROGRAMA DESTINO]],Tabla49[ESPACIO ACADÉMICO DESTINO]&amp;Tabla49[PROGRAMA],Tabla49[CÓDIGO],"")</f>
        <v>48166</v>
      </c>
      <c r="H24" s="10" t="s">
        <v>140</v>
      </c>
      <c r="I24" s="14" cm="1">
        <f t="array" ref="I24">+_xlfn.XLOOKUP(Tabla9[[#This Row],[ESPACIO ACADÉMICO DESTINO]]&amp;Tabla9[[#This Row],[PROGRAMA DESTINO]],Tabla49[ESPACIO ACADÉMICO DESTINO]&amp;Tabla49[PROGRAMA],Tabla49[CRÉDITOS],"")</f>
        <v>3</v>
      </c>
      <c r="J24" s="14">
        <v>4.5</v>
      </c>
      <c r="K24" s="10" t="s">
        <v>53</v>
      </c>
      <c r="L24" s="1"/>
      <c r="M24" s="1"/>
      <c r="N24" s="20" t="s">
        <v>131</v>
      </c>
      <c r="P24" s="4" t="s">
        <v>123</v>
      </c>
      <c r="Q24" s="18" t="s">
        <v>55</v>
      </c>
      <c r="R24" s="2"/>
      <c r="S24" s="2"/>
      <c r="X24" s="52" t="s">
        <v>53</v>
      </c>
      <c r="Y24" s="8">
        <v>48150</v>
      </c>
      <c r="Z24" s="7" t="s">
        <v>153</v>
      </c>
      <c r="AA24" s="8">
        <v>2</v>
      </c>
    </row>
    <row r="25" spans="3:27" ht="45" x14ac:dyDescent="0.25">
      <c r="C25" s="1" t="str">
        <f>_xlfn.XLOOKUP(Tabla9[[#This Row],[PROGRAMA ORIGEN]],PROGRAMAS_N[PROGRAMAS ORIGEN],PROGRAMAS_N[NIVEL],"")</f>
        <v>TECNÓLOGO</v>
      </c>
      <c r="D25" s="16" t="s">
        <v>64</v>
      </c>
      <c r="E25" s="14">
        <v>220201014</v>
      </c>
      <c r="F25" s="10" t="s">
        <v>148</v>
      </c>
      <c r="G25" s="10" cm="1">
        <f t="array" ref="G25">+_xlfn.XLOOKUP(Tabla9[[#This Row],[ESPACIO ACADÉMICO DESTINO]]&amp;Tabla9[[#This Row],[PROGRAMA DESTINO]],Tabla49[ESPACIO ACADÉMICO DESTINO]&amp;Tabla49[PROGRAMA],Tabla49[CÓDIGO],"")</f>
        <v>48171</v>
      </c>
      <c r="H25" s="10" t="s">
        <v>137</v>
      </c>
      <c r="I25" s="14" cm="1">
        <f t="array" ref="I25">+_xlfn.XLOOKUP(Tabla9[[#This Row],[ESPACIO ACADÉMICO DESTINO]]&amp;Tabla9[[#This Row],[PROGRAMA DESTINO]],Tabla49[ESPACIO ACADÉMICO DESTINO]&amp;Tabla49[PROGRAMA],Tabla49[CRÉDITOS],"")</f>
        <v>3</v>
      </c>
      <c r="J25" s="14">
        <v>4.5</v>
      </c>
      <c r="K25" s="10" t="s">
        <v>53</v>
      </c>
      <c r="L25" s="1"/>
      <c r="M25" s="1"/>
      <c r="N25" s="20" t="s">
        <v>154</v>
      </c>
      <c r="P25" s="4" t="s">
        <v>155</v>
      </c>
      <c r="Q25" s="18" t="s">
        <v>55</v>
      </c>
      <c r="R25" s="2"/>
      <c r="S25" s="2"/>
      <c r="X25" s="52" t="s">
        <v>53</v>
      </c>
      <c r="Y25" s="8">
        <v>48151</v>
      </c>
      <c r="Z25" s="8" t="s">
        <v>156</v>
      </c>
      <c r="AA25" s="8">
        <v>2</v>
      </c>
    </row>
    <row r="26" spans="3:27" ht="45" x14ac:dyDescent="0.25">
      <c r="C26" s="1" t="str">
        <f>_xlfn.XLOOKUP(Tabla9[[#This Row],[PROGRAMA ORIGEN]],PROGRAMAS_N[PROGRAMAS ORIGEN],PROGRAMAS_N[NIVEL],"")</f>
        <v>TECNÓLOGO</v>
      </c>
      <c r="D26" s="16" t="s">
        <v>64</v>
      </c>
      <c r="E26" s="14">
        <v>220201002</v>
      </c>
      <c r="F26" s="10" t="s">
        <v>157</v>
      </c>
      <c r="G26" s="10" cm="1">
        <f t="array" ref="G26">+_xlfn.XLOOKUP(Tabla9[[#This Row],[ESPACIO ACADÉMICO DESTINO]]&amp;Tabla9[[#This Row],[PROGRAMA DESTINO]],Tabla49[ESPACIO ACADÉMICO DESTINO]&amp;Tabla49[PROGRAMA],Tabla49[CÓDIGO],"")</f>
        <v>73514</v>
      </c>
      <c r="H26" s="10" t="s">
        <v>90</v>
      </c>
      <c r="I26" s="14" cm="1">
        <f t="array" ref="I26">+_xlfn.XLOOKUP(Tabla9[[#This Row],[ESPACIO ACADÉMICO DESTINO]]&amp;Tabla9[[#This Row],[PROGRAMA DESTINO]],Tabla49[ESPACIO ACADÉMICO DESTINO]&amp;Tabla49[PROGRAMA],Tabla49[CRÉDITOS],"")</f>
        <v>3</v>
      </c>
      <c r="J26" s="14">
        <v>4.5</v>
      </c>
      <c r="K26" s="10" t="s">
        <v>53</v>
      </c>
      <c r="L26" s="1"/>
      <c r="M26" s="1"/>
      <c r="N26" s="20" t="s">
        <v>158</v>
      </c>
      <c r="P26" s="3" t="s">
        <v>159</v>
      </c>
      <c r="Q26" s="18" t="s">
        <v>55</v>
      </c>
      <c r="R26" s="2"/>
      <c r="S26" s="2"/>
      <c r="X26" s="52" t="s">
        <v>53</v>
      </c>
      <c r="Y26" s="8">
        <v>95110</v>
      </c>
      <c r="Z26" s="8" t="s">
        <v>160</v>
      </c>
      <c r="AA26" s="8">
        <v>2</v>
      </c>
    </row>
    <row r="27" spans="3:27" ht="45" x14ac:dyDescent="0.25">
      <c r="C27" s="1" t="str">
        <f>_xlfn.XLOOKUP(Tabla9[[#This Row],[PROGRAMA ORIGEN]],PROGRAMAS_N[PROGRAMAS ORIGEN],PROGRAMAS_N[NIVEL],"")</f>
        <v>TECNÓLOGO</v>
      </c>
      <c r="D27" s="16" t="s">
        <v>64</v>
      </c>
      <c r="E27" s="14">
        <v>280201021</v>
      </c>
      <c r="F27" s="10" t="s">
        <v>161</v>
      </c>
      <c r="G27" s="10" cm="1">
        <f t="array" ref="G27">+_xlfn.XLOOKUP(Tabla9[[#This Row],[ESPACIO ACADÉMICO DESTINO]]&amp;Tabla9[[#This Row],[PROGRAMA DESTINO]],Tabla49[ESPACIO ACADÉMICO DESTINO]&amp;Tabla49[PROGRAMA],Tabla49[CÓDIGO],"")</f>
        <v>48157</v>
      </c>
      <c r="H27" s="10" t="s">
        <v>83</v>
      </c>
      <c r="I27" s="14" cm="1">
        <f t="array" ref="I27">+_xlfn.XLOOKUP(Tabla9[[#This Row],[ESPACIO ACADÉMICO DESTINO]]&amp;Tabla9[[#This Row],[PROGRAMA DESTINO]],Tabla49[ESPACIO ACADÉMICO DESTINO]&amp;Tabla49[PROGRAMA],Tabla49[CRÉDITOS],"")</f>
        <v>2</v>
      </c>
      <c r="J27" s="14">
        <v>4.5</v>
      </c>
      <c r="K27" s="10" t="s">
        <v>53</v>
      </c>
      <c r="L27" s="1"/>
      <c r="M27" s="1"/>
      <c r="N27" s="20" t="s">
        <v>162</v>
      </c>
      <c r="P27" s="4" t="s">
        <v>130</v>
      </c>
      <c r="Q27" s="18" t="s">
        <v>57</v>
      </c>
      <c r="R27" s="2"/>
      <c r="S27" s="2"/>
      <c r="X27" s="52" t="s">
        <v>53</v>
      </c>
      <c r="Y27" s="8">
        <v>16573</v>
      </c>
      <c r="Z27" s="7" t="s">
        <v>163</v>
      </c>
      <c r="AA27" s="8">
        <v>2</v>
      </c>
    </row>
    <row r="28" spans="3:27" ht="45" x14ac:dyDescent="0.25">
      <c r="C28" s="1" t="str">
        <f>_xlfn.XLOOKUP(Tabla9[[#This Row],[PROGRAMA ORIGEN]],PROGRAMAS_N[PROGRAMAS ORIGEN],PROGRAMAS_N[NIVEL],"")</f>
        <v>TECNÓLOGO</v>
      </c>
      <c r="D28" s="16" t="s">
        <v>64</v>
      </c>
      <c r="E28" s="14">
        <v>280201021</v>
      </c>
      <c r="F28" s="10" t="s">
        <v>161</v>
      </c>
      <c r="G28" s="10" cm="1">
        <f t="array" ref="G28">+_xlfn.XLOOKUP(Tabla9[[#This Row],[ESPACIO ACADÉMICO DESTINO]]&amp;Tabla9[[#This Row],[PROGRAMA DESTINO]],Tabla49[ESPACIO ACADÉMICO DESTINO]&amp;Tabla49[PROGRAMA],Tabla49[CÓDIGO],"")</f>
        <v>16960</v>
      </c>
      <c r="H28" s="10" t="s">
        <v>147</v>
      </c>
      <c r="I28" s="14" cm="1">
        <f t="array" ref="I28">+_xlfn.XLOOKUP(Tabla9[[#This Row],[ESPACIO ACADÉMICO DESTINO]]&amp;Tabla9[[#This Row],[PROGRAMA DESTINO]],Tabla49[ESPACIO ACADÉMICO DESTINO]&amp;Tabla49[PROGRAMA],Tabla49[CRÉDITOS],"")</f>
        <v>2</v>
      </c>
      <c r="J28" s="14">
        <v>4.5</v>
      </c>
      <c r="K28" s="10" t="s">
        <v>53</v>
      </c>
      <c r="L28" s="1"/>
      <c r="M28" s="1"/>
      <c r="N28" s="20" t="s">
        <v>164</v>
      </c>
      <c r="P28" s="4" t="s">
        <v>127</v>
      </c>
      <c r="Q28" s="18" t="s">
        <v>57</v>
      </c>
      <c r="R28" s="2"/>
      <c r="S28" s="2"/>
      <c r="X28" s="52" t="s">
        <v>53</v>
      </c>
      <c r="Y28" s="8">
        <v>16675</v>
      </c>
      <c r="Z28" s="7" t="s">
        <v>165</v>
      </c>
      <c r="AA28" s="8">
        <v>2</v>
      </c>
    </row>
    <row r="29" spans="3:27" ht="45" x14ac:dyDescent="0.25">
      <c r="C29" s="1" t="str">
        <f>_xlfn.XLOOKUP(Tabla9[[#This Row],[PROGRAMA ORIGEN]],PROGRAMAS_N[PROGRAMAS ORIGEN],PROGRAMAS_N[NIVEL],"")</f>
        <v>TECNÓLOGO</v>
      </c>
      <c r="D29" s="16" t="s">
        <v>64</v>
      </c>
      <c r="E29" s="14">
        <v>220201003</v>
      </c>
      <c r="F29" s="10" t="s">
        <v>166</v>
      </c>
      <c r="G29" s="10" cm="1">
        <f t="array" ref="G29">+_xlfn.XLOOKUP(Tabla9[[#This Row],[ESPACIO ACADÉMICO DESTINO]]&amp;Tabla9[[#This Row],[PROGRAMA DESTINO]],Tabla49[ESPACIO ACADÉMICO DESTINO]&amp;Tabla49[PROGRAMA],Tabla49[CÓDIGO],"")</f>
        <v>16423</v>
      </c>
      <c r="H29" s="10" t="s">
        <v>110</v>
      </c>
      <c r="I29" s="14" cm="1">
        <f t="array" ref="I29">+_xlfn.XLOOKUP(Tabla9[[#This Row],[ESPACIO ACADÉMICO DESTINO]]&amp;Tabla9[[#This Row],[PROGRAMA DESTINO]],Tabla49[ESPACIO ACADÉMICO DESTINO]&amp;Tabla49[PROGRAMA],Tabla49[CRÉDITOS],"")</f>
        <v>2</v>
      </c>
      <c r="J29" s="14">
        <v>4.5</v>
      </c>
      <c r="K29" s="10" t="s">
        <v>53</v>
      </c>
      <c r="L29" s="1"/>
      <c r="M29" s="1"/>
      <c r="N29" s="20" t="s">
        <v>167</v>
      </c>
      <c r="P29" s="4" t="s">
        <v>84</v>
      </c>
      <c r="Q29" s="18" t="s">
        <v>55</v>
      </c>
      <c r="R29" s="2"/>
      <c r="S29" s="2"/>
      <c r="X29" s="52" t="s">
        <v>53</v>
      </c>
      <c r="Y29" s="8">
        <v>48152</v>
      </c>
      <c r="Z29" s="8" t="s">
        <v>133</v>
      </c>
      <c r="AA29" s="8">
        <v>3</v>
      </c>
    </row>
    <row r="30" spans="3:27" ht="45" x14ac:dyDescent="0.25">
      <c r="C30" s="1" t="str">
        <f>_xlfn.XLOOKUP(Tabla9[[#This Row],[PROGRAMA ORIGEN]],PROGRAMAS_N[PROGRAMAS ORIGEN],PROGRAMAS_N[NIVEL],"")</f>
        <v>TECNÓLOGO</v>
      </c>
      <c r="D30" s="16" t="s">
        <v>64</v>
      </c>
      <c r="E30" s="14">
        <v>220201003</v>
      </c>
      <c r="F30" s="10" t="s">
        <v>166</v>
      </c>
      <c r="G30" s="10" cm="1">
        <f t="array" ref="G30">+_xlfn.XLOOKUP(Tabla9[[#This Row],[ESPACIO ACADÉMICO DESTINO]]&amp;Tabla9[[#This Row],[PROGRAMA DESTINO]],Tabla49[ESPACIO ACADÉMICO DESTINO]&amp;Tabla49[PROGRAMA],Tabla49[CÓDIGO],"")</f>
        <v>48172</v>
      </c>
      <c r="H30" s="10" t="s">
        <v>168</v>
      </c>
      <c r="I30" s="14" cm="1">
        <f t="array" ref="I30">+_xlfn.XLOOKUP(Tabla9[[#This Row],[ESPACIO ACADÉMICO DESTINO]]&amp;Tabla9[[#This Row],[PROGRAMA DESTINO]],Tabla49[ESPACIO ACADÉMICO DESTINO]&amp;Tabla49[PROGRAMA],Tabla49[CRÉDITOS],"")</f>
        <v>3</v>
      </c>
      <c r="J30" s="14">
        <v>4.5</v>
      </c>
      <c r="K30" s="10" t="s">
        <v>53</v>
      </c>
      <c r="L30" s="1"/>
      <c r="M30" s="1"/>
      <c r="N30" s="20" t="s">
        <v>169</v>
      </c>
      <c r="P30" s="4" t="s">
        <v>170</v>
      </c>
      <c r="Q30" s="18" t="s">
        <v>55</v>
      </c>
      <c r="R30" s="2"/>
      <c r="S30" s="2"/>
      <c r="X30" s="52" t="s">
        <v>53</v>
      </c>
      <c r="Y30" s="8">
        <v>48153</v>
      </c>
      <c r="Z30" s="8" t="s">
        <v>171</v>
      </c>
      <c r="AA30" s="8">
        <v>2</v>
      </c>
    </row>
    <row r="31" spans="3:27" ht="60" x14ac:dyDescent="0.25">
      <c r="C31" s="1" t="str">
        <f>_xlfn.XLOOKUP(Tabla9[[#This Row],[PROGRAMA ORIGEN]],PROGRAMAS_N[PROGRAMAS ORIGEN],PROGRAMAS_N[NIVEL],"")</f>
        <v>TECNÓLOGO</v>
      </c>
      <c r="D31" s="16" t="s">
        <v>64</v>
      </c>
      <c r="E31" s="14">
        <v>220201005</v>
      </c>
      <c r="F31" s="10" t="s">
        <v>172</v>
      </c>
      <c r="G31" s="10" cm="1">
        <f t="array" ref="G31">+_xlfn.XLOOKUP(Tabla9[[#This Row],[ESPACIO ACADÉMICO DESTINO]]&amp;Tabla9[[#This Row],[PROGRAMA DESTINO]],Tabla49[ESPACIO ACADÉMICO DESTINO]&amp;Tabla49[PROGRAMA],Tabla49[CÓDIGO],"")</f>
        <v>48156</v>
      </c>
      <c r="H31" s="10" t="s">
        <v>126</v>
      </c>
      <c r="I31" s="14" cm="1">
        <f t="array" ref="I31">+_xlfn.XLOOKUP(Tabla9[[#This Row],[ESPACIO ACADÉMICO DESTINO]]&amp;Tabla9[[#This Row],[PROGRAMA DESTINO]],Tabla49[ESPACIO ACADÉMICO DESTINO]&amp;Tabla49[PROGRAMA],Tabla49[CRÉDITOS],"")</f>
        <v>2</v>
      </c>
      <c r="J31" s="14">
        <v>4.5</v>
      </c>
      <c r="K31" s="10" t="s">
        <v>53</v>
      </c>
      <c r="L31" s="1"/>
      <c r="M31" s="1"/>
      <c r="N31" s="20" t="s">
        <v>173</v>
      </c>
      <c r="P31" s="4" t="s">
        <v>174</v>
      </c>
      <c r="Q31" s="18" t="s">
        <v>57</v>
      </c>
      <c r="R31" s="2"/>
      <c r="S31" s="2"/>
      <c r="X31" s="52" t="s">
        <v>53</v>
      </c>
      <c r="Y31" s="8">
        <v>48154</v>
      </c>
      <c r="Z31" s="7" t="s">
        <v>175</v>
      </c>
      <c r="AA31" s="8">
        <v>2</v>
      </c>
    </row>
    <row r="32" spans="3:27" ht="45" x14ac:dyDescent="0.25">
      <c r="C32" s="1" t="str">
        <f>_xlfn.XLOOKUP(Tabla9[[#This Row],[PROGRAMA ORIGEN]],PROGRAMAS_N[PROGRAMAS ORIGEN],PROGRAMAS_N[NIVEL],"")</f>
        <v>TECNÓLOGO</v>
      </c>
      <c r="D32" s="16" t="s">
        <v>64</v>
      </c>
      <c r="E32" s="14">
        <v>220201005</v>
      </c>
      <c r="F32" s="10" t="s">
        <v>172</v>
      </c>
      <c r="G32" s="10" cm="1">
        <f t="array" ref="G32">+_xlfn.XLOOKUP(Tabla9[[#This Row],[ESPACIO ACADÉMICO DESTINO]]&amp;Tabla9[[#This Row],[PROGRAMA DESTINO]],Tabla49[ESPACIO ACADÉMICO DESTINO]&amp;Tabla49[PROGRAMA],Tabla49[CÓDIGO],"")</f>
        <v>16617</v>
      </c>
      <c r="H32" s="10" t="s">
        <v>129</v>
      </c>
      <c r="I32" s="14" cm="1">
        <f t="array" ref="I32">+_xlfn.XLOOKUP(Tabla9[[#This Row],[ESPACIO ACADÉMICO DESTINO]]&amp;Tabla9[[#This Row],[PROGRAMA DESTINO]],Tabla49[ESPACIO ACADÉMICO DESTINO]&amp;Tabla49[PROGRAMA],Tabla49[CRÉDITOS],"")</f>
        <v>3</v>
      </c>
      <c r="J32" s="14">
        <v>4.5</v>
      </c>
      <c r="K32" s="10" t="s">
        <v>53</v>
      </c>
      <c r="L32" s="1"/>
      <c r="M32" s="1"/>
      <c r="N32" s="20" t="s">
        <v>50</v>
      </c>
      <c r="P32" s="4" t="s">
        <v>176</v>
      </c>
      <c r="Q32" s="18" t="s">
        <v>57</v>
      </c>
      <c r="R32" s="2"/>
      <c r="S32" s="2"/>
      <c r="X32" s="52" t="s">
        <v>53</v>
      </c>
      <c r="Y32" s="8">
        <v>48155</v>
      </c>
      <c r="Z32" s="7" t="s">
        <v>177</v>
      </c>
      <c r="AA32" s="8">
        <v>3</v>
      </c>
    </row>
    <row r="33" spans="3:27" ht="45" x14ac:dyDescent="0.25">
      <c r="C33" s="1" t="str">
        <f>_xlfn.XLOOKUP(Tabla9[[#This Row],[PROGRAMA ORIGEN]],PROGRAMAS_N[PROGRAMAS ORIGEN],PROGRAMAS_N[NIVEL],"")</f>
        <v>TECNÓLOGO</v>
      </c>
      <c r="D33" s="16" t="s">
        <v>64</v>
      </c>
      <c r="E33" s="14">
        <v>220201006</v>
      </c>
      <c r="F33" s="10" t="s">
        <v>178</v>
      </c>
      <c r="G33" s="10" cm="1">
        <f t="array" ref="G33">+_xlfn.XLOOKUP(Tabla9[[#This Row],[ESPACIO ACADÉMICO DESTINO]]&amp;Tabla9[[#This Row],[PROGRAMA DESTINO]],Tabla49[ESPACIO ACADÉMICO DESTINO]&amp;Tabla49[PROGRAMA],Tabla49[CÓDIGO],"")</f>
        <v>48163</v>
      </c>
      <c r="H33" s="10" t="s">
        <v>179</v>
      </c>
      <c r="I33" s="14" cm="1">
        <f t="array" ref="I33">+_xlfn.XLOOKUP(Tabla9[[#This Row],[ESPACIO ACADÉMICO DESTINO]]&amp;Tabla9[[#This Row],[PROGRAMA DESTINO]],Tabla49[ESPACIO ACADÉMICO DESTINO]&amp;Tabla49[PROGRAMA],Tabla49[CRÉDITOS],"")</f>
        <v>3</v>
      </c>
      <c r="J33" s="14">
        <v>4.5</v>
      </c>
      <c r="K33" s="10" t="s">
        <v>53</v>
      </c>
      <c r="L33" s="1"/>
      <c r="M33" s="1"/>
      <c r="N33" s="20" t="s">
        <v>170</v>
      </c>
      <c r="P33" s="4" t="s">
        <v>180</v>
      </c>
      <c r="Q33" s="18" t="s">
        <v>57</v>
      </c>
      <c r="R33" s="2"/>
      <c r="S33" s="2"/>
      <c r="X33" s="52" t="s">
        <v>53</v>
      </c>
      <c r="Y33" s="8">
        <v>48156</v>
      </c>
      <c r="Z33" s="7" t="s">
        <v>126</v>
      </c>
      <c r="AA33" s="8">
        <v>2</v>
      </c>
    </row>
    <row r="34" spans="3:27" ht="45" x14ac:dyDescent="0.25">
      <c r="C34" s="1" t="str">
        <f>_xlfn.XLOOKUP(Tabla9[[#This Row],[PROGRAMA ORIGEN]],PROGRAMAS_N[PROGRAMAS ORIGEN],PROGRAMAS_N[NIVEL],"")</f>
        <v>TECNÓLOGO</v>
      </c>
      <c r="D34" s="16" t="s">
        <v>64</v>
      </c>
      <c r="E34" s="14">
        <v>280201019</v>
      </c>
      <c r="F34" s="10" t="s">
        <v>181</v>
      </c>
      <c r="G34" s="10" cm="1">
        <f t="array" ref="G34">+_xlfn.XLOOKUP(Tabla9[[#This Row],[ESPACIO ACADÉMICO DESTINO]]&amp;Tabla9[[#This Row],[PROGRAMA DESTINO]],Tabla49[ESPACIO ACADÉMICO DESTINO]&amp;Tabla49[PROGRAMA],Tabla49[CÓDIGO],"")</f>
        <v>48170</v>
      </c>
      <c r="H34" s="10" t="s">
        <v>182</v>
      </c>
      <c r="I34" s="14" cm="1">
        <f t="array" ref="I34">+_xlfn.XLOOKUP(Tabla9[[#This Row],[ESPACIO ACADÉMICO DESTINO]]&amp;Tabla9[[#This Row],[PROGRAMA DESTINO]],Tabla49[ESPACIO ACADÉMICO DESTINO]&amp;Tabla49[PROGRAMA],Tabla49[CRÉDITOS],"")</f>
        <v>3</v>
      </c>
      <c r="J34" s="14">
        <v>4.5</v>
      </c>
      <c r="K34" s="10" t="s">
        <v>53</v>
      </c>
      <c r="L34" s="1"/>
      <c r="M34" s="1"/>
      <c r="N34" s="20" t="s">
        <v>146</v>
      </c>
      <c r="P34" s="4" t="s">
        <v>183</v>
      </c>
      <c r="Q34" s="18" t="s">
        <v>57</v>
      </c>
      <c r="R34" s="2"/>
      <c r="S34" s="2"/>
      <c r="X34" s="52" t="s">
        <v>53</v>
      </c>
      <c r="Y34" s="8">
        <v>95111</v>
      </c>
      <c r="Z34" s="8" t="s">
        <v>184</v>
      </c>
      <c r="AA34" s="8">
        <v>2</v>
      </c>
    </row>
    <row r="35" spans="3:27" ht="45" x14ac:dyDescent="0.25">
      <c r="C35" s="1" t="str">
        <f>_xlfn.XLOOKUP(Tabla9[[#This Row],[PROGRAMA ORIGEN]],PROGRAMAS_N[PROGRAMAS ORIGEN],PROGRAMAS_N[NIVEL],"")</f>
        <v>TECNÓLOGO</v>
      </c>
      <c r="D35" s="16" t="s">
        <v>64</v>
      </c>
      <c r="E35" s="14">
        <v>240201500</v>
      </c>
      <c r="F35" s="10" t="s">
        <v>144</v>
      </c>
      <c r="G35" s="10" cm="1">
        <f t="array" ref="G35">+_xlfn.XLOOKUP(Tabla9[[#This Row],[ESPACIO ACADÉMICO DESTINO]]&amp;Tabla9[[#This Row],[PROGRAMA DESTINO]],Tabla49[ESPACIO ACADÉMICO DESTINO]&amp;Tabla49[PROGRAMA],Tabla49[CÓDIGO],"")</f>
        <v>15135</v>
      </c>
      <c r="H35" s="10" t="s">
        <v>56</v>
      </c>
      <c r="I35" s="14" cm="1">
        <f t="array" ref="I35">+_xlfn.XLOOKUP(Tabla9[[#This Row],[ESPACIO ACADÉMICO DESTINO]]&amp;Tabla9[[#This Row],[PROGRAMA DESTINO]],Tabla49[ESPACIO ACADÉMICO DESTINO]&amp;Tabla49[PROGRAMA],Tabla49[CRÉDITOS],"")</f>
        <v>2</v>
      </c>
      <c r="J35" s="14">
        <v>4.5</v>
      </c>
      <c r="K35" s="10" t="s">
        <v>53</v>
      </c>
      <c r="L35" s="1"/>
      <c r="M35" s="1"/>
      <c r="N35" s="20" t="s">
        <v>185</v>
      </c>
      <c r="P35" s="4" t="s">
        <v>186</v>
      </c>
      <c r="Q35" s="18" t="s">
        <v>57</v>
      </c>
      <c r="R35" s="2"/>
      <c r="S35" s="2"/>
      <c r="X35" s="52" t="s">
        <v>53</v>
      </c>
      <c r="Y35" s="8">
        <v>16617</v>
      </c>
      <c r="Z35" s="8" t="s">
        <v>129</v>
      </c>
      <c r="AA35" s="8">
        <v>3</v>
      </c>
    </row>
    <row r="36" spans="3:27" ht="45" x14ac:dyDescent="0.25">
      <c r="C36" s="1" t="str">
        <f>_xlfn.XLOOKUP(Tabla9[[#This Row],[PROGRAMA ORIGEN]],PROGRAMAS_N[PROGRAMAS ORIGEN],PROGRAMAS_N[NIVEL],"")</f>
        <v>TECNÓLOGO</v>
      </c>
      <c r="D36" s="16" t="s">
        <v>72</v>
      </c>
      <c r="E36" s="14">
        <v>220201004</v>
      </c>
      <c r="F36" s="10" t="s">
        <v>187</v>
      </c>
      <c r="G36" s="10" cm="1">
        <f t="array" ref="G36">+_xlfn.XLOOKUP(Tabla9[[#This Row],[ESPACIO ACADÉMICO DESTINO]]&amp;Tabla9[[#This Row],[PROGRAMA DESTINO]],Tabla49[ESPACIO ACADÉMICO DESTINO]&amp;Tabla49[PROGRAMA],Tabla49[CÓDIGO],"")</f>
        <v>48132</v>
      </c>
      <c r="H36" s="10" t="s">
        <v>52</v>
      </c>
      <c r="I36" s="14" cm="1">
        <f t="array" ref="I36">+_xlfn.XLOOKUP(Tabla9[[#This Row],[ESPACIO ACADÉMICO DESTINO]]&amp;Tabla9[[#This Row],[PROGRAMA DESTINO]],Tabla49[ESPACIO ACADÉMICO DESTINO]&amp;Tabla49[PROGRAMA],Tabla49[CRÉDITOS],"")</f>
        <v>3</v>
      </c>
      <c r="J36" s="14">
        <v>4.5</v>
      </c>
      <c r="K36" s="10" t="s">
        <v>53</v>
      </c>
      <c r="L36" s="1"/>
      <c r="M36" s="1"/>
      <c r="N36" s="20" t="s">
        <v>188</v>
      </c>
      <c r="P36" s="4" t="s">
        <v>189</v>
      </c>
      <c r="Q36" s="18" t="s">
        <v>57</v>
      </c>
      <c r="R36" s="2"/>
      <c r="S36" s="2"/>
      <c r="X36" s="52" t="s">
        <v>53</v>
      </c>
      <c r="Y36" s="8">
        <v>48157</v>
      </c>
      <c r="Z36" s="7" t="s">
        <v>83</v>
      </c>
      <c r="AA36" s="8">
        <v>2</v>
      </c>
    </row>
    <row r="37" spans="3:27" ht="45" x14ac:dyDescent="0.25">
      <c r="C37" s="1" t="str">
        <f>_xlfn.XLOOKUP(Tabla9[[#This Row],[PROGRAMA ORIGEN]],PROGRAMAS_N[PROGRAMAS ORIGEN],PROGRAMAS_N[NIVEL],"")</f>
        <v>TECNÓLOGO</v>
      </c>
      <c r="D37" s="16" t="s">
        <v>72</v>
      </c>
      <c r="E37" s="14">
        <v>220201004</v>
      </c>
      <c r="F37" s="10" t="s">
        <v>187</v>
      </c>
      <c r="G37" s="10" cm="1">
        <f t="array" ref="G37">+_xlfn.XLOOKUP(Tabla9[[#This Row],[ESPACIO ACADÉMICO DESTINO]]&amp;Tabla9[[#This Row],[PROGRAMA DESTINO]],Tabla49[ESPACIO ACADÉMICO DESTINO]&amp;Tabla49[PROGRAMA],Tabla49[CÓDIGO],"")</f>
        <v>73514</v>
      </c>
      <c r="H37" s="10" t="s">
        <v>90</v>
      </c>
      <c r="I37" s="14" cm="1">
        <f t="array" ref="I37">+_xlfn.XLOOKUP(Tabla9[[#This Row],[ESPACIO ACADÉMICO DESTINO]]&amp;Tabla9[[#This Row],[PROGRAMA DESTINO]],Tabla49[ESPACIO ACADÉMICO DESTINO]&amp;Tabla49[PROGRAMA],Tabla49[CRÉDITOS],"")</f>
        <v>3</v>
      </c>
      <c r="J37" s="14">
        <v>4.5</v>
      </c>
      <c r="K37" s="10" t="s">
        <v>53</v>
      </c>
      <c r="L37" s="1"/>
      <c r="M37" s="1"/>
      <c r="N37" s="20" t="s">
        <v>190</v>
      </c>
      <c r="P37" s="4" t="s">
        <v>191</v>
      </c>
      <c r="Q37" s="18" t="s">
        <v>57</v>
      </c>
      <c r="R37" s="2"/>
      <c r="S37" s="2"/>
      <c r="X37" s="52" t="s">
        <v>53</v>
      </c>
      <c r="Y37" s="8">
        <v>48158</v>
      </c>
      <c r="Z37" s="7" t="s">
        <v>119</v>
      </c>
      <c r="AA37" s="8">
        <v>2</v>
      </c>
    </row>
    <row r="38" spans="3:27" ht="45" x14ac:dyDescent="0.25">
      <c r="C38" s="1" t="str">
        <f>_xlfn.XLOOKUP(Tabla9[[#This Row],[PROGRAMA ORIGEN]],PROGRAMAS_N[PROGRAMAS ORIGEN],PROGRAMAS_N[NIVEL],"")</f>
        <v>TECNÓLOGO</v>
      </c>
      <c r="D38" s="16" t="s">
        <v>72</v>
      </c>
      <c r="E38" s="14">
        <v>270410024</v>
      </c>
      <c r="F38" s="10" t="s">
        <v>192</v>
      </c>
      <c r="G38" s="10" cm="1">
        <f t="array" ref="G38">+_xlfn.XLOOKUP(Tabla9[[#This Row],[ESPACIO ACADÉMICO DESTINO]]&amp;Tabla9[[#This Row],[PROGRAMA DESTINO]],Tabla49[ESPACIO ACADÉMICO DESTINO]&amp;Tabla49[PROGRAMA],Tabla49[CÓDIGO],"")</f>
        <v>48155</v>
      </c>
      <c r="H38" s="10" t="s">
        <v>177</v>
      </c>
      <c r="I38" s="14" cm="1">
        <f t="array" ref="I38">+_xlfn.XLOOKUP(Tabla9[[#This Row],[ESPACIO ACADÉMICO DESTINO]]&amp;Tabla9[[#This Row],[PROGRAMA DESTINO]],Tabla49[ESPACIO ACADÉMICO DESTINO]&amp;Tabla49[PROGRAMA],Tabla49[CRÉDITOS],"")</f>
        <v>3</v>
      </c>
      <c r="J38" s="14">
        <v>4.5</v>
      </c>
      <c r="K38" s="10" t="s">
        <v>53</v>
      </c>
      <c r="L38" s="1"/>
      <c r="M38" s="1"/>
      <c r="N38" s="20" t="s">
        <v>193</v>
      </c>
      <c r="P38" s="4" t="s">
        <v>194</v>
      </c>
      <c r="Q38" s="18" t="s">
        <v>55</v>
      </c>
      <c r="R38" s="2"/>
      <c r="S38" s="2"/>
      <c r="X38" s="52" t="s">
        <v>53</v>
      </c>
      <c r="Y38" s="8">
        <v>48159</v>
      </c>
      <c r="Z38" s="8" t="s">
        <v>195</v>
      </c>
      <c r="AA38" s="8">
        <v>2</v>
      </c>
    </row>
    <row r="39" spans="3:27" ht="75" x14ac:dyDescent="0.25">
      <c r="C39" s="1" t="str">
        <f>_xlfn.XLOOKUP(Tabla9[[#This Row],[PROGRAMA ORIGEN]],PROGRAMAS_N[PROGRAMAS ORIGEN],PROGRAMAS_N[NIVEL],"")</f>
        <v>TECNÓLOGO</v>
      </c>
      <c r="D39" s="16" t="s">
        <v>72</v>
      </c>
      <c r="E39" s="14">
        <v>280603001</v>
      </c>
      <c r="F39" s="10" t="s">
        <v>196</v>
      </c>
      <c r="G39" s="10" cm="1">
        <f t="array" ref="G39">+_xlfn.XLOOKUP(Tabla9[[#This Row],[ESPACIO ACADÉMICO DESTINO]]&amp;Tabla9[[#This Row],[PROGRAMA DESTINO]],Tabla49[ESPACIO ACADÉMICO DESTINO]&amp;Tabla49[PROGRAMA],Tabla49[CÓDIGO],"")</f>
        <v>48144</v>
      </c>
      <c r="H39" s="10" t="s">
        <v>121</v>
      </c>
      <c r="I39" s="14" cm="1">
        <f t="array" ref="I39">+_xlfn.XLOOKUP(Tabla9[[#This Row],[ESPACIO ACADÉMICO DESTINO]]&amp;Tabla9[[#This Row],[PROGRAMA DESTINO]],Tabla49[ESPACIO ACADÉMICO DESTINO]&amp;Tabla49[PROGRAMA],Tabla49[CRÉDITOS],"")</f>
        <v>2</v>
      </c>
      <c r="J39" s="14">
        <v>4.5</v>
      </c>
      <c r="K39" s="10" t="s">
        <v>53</v>
      </c>
      <c r="L39" s="1"/>
      <c r="M39" s="1"/>
      <c r="N39" s="20" t="s">
        <v>111</v>
      </c>
      <c r="P39" s="4" t="s">
        <v>197</v>
      </c>
      <c r="Q39" s="18" t="s">
        <v>55</v>
      </c>
      <c r="R39" s="2"/>
      <c r="S39" s="2"/>
      <c r="X39" s="52" t="s">
        <v>53</v>
      </c>
      <c r="Y39" s="8">
        <v>48160</v>
      </c>
      <c r="Z39" s="7" t="s">
        <v>198</v>
      </c>
      <c r="AA39" s="8">
        <v>2</v>
      </c>
    </row>
    <row r="40" spans="3:27" ht="45" x14ac:dyDescent="0.25">
      <c r="C40" s="1" t="str">
        <f>_xlfn.XLOOKUP(Tabla9[[#This Row],[PROGRAMA ORIGEN]],PROGRAMAS_N[PROGRAMAS ORIGEN],PROGRAMAS_N[NIVEL],"")</f>
        <v>TECNÓLOGO</v>
      </c>
      <c r="D40" s="16" t="s">
        <v>72</v>
      </c>
      <c r="E40" s="14">
        <v>280603001</v>
      </c>
      <c r="F40" s="10" t="s">
        <v>196</v>
      </c>
      <c r="G40" s="10" cm="1">
        <f t="array" ref="G40">+_xlfn.XLOOKUP(Tabla9[[#This Row],[ESPACIO ACADÉMICO DESTINO]]&amp;Tabla9[[#This Row],[PROGRAMA DESTINO]],Tabla49[ESPACIO ACADÉMICO DESTINO]&amp;Tabla49[PROGRAMA],Tabla49[CÓDIGO],"")</f>
        <v>48167</v>
      </c>
      <c r="H40" s="10" t="s">
        <v>97</v>
      </c>
      <c r="I40" s="14" cm="1">
        <f t="array" ref="I40">+_xlfn.XLOOKUP(Tabla9[[#This Row],[ESPACIO ACADÉMICO DESTINO]]&amp;Tabla9[[#This Row],[PROGRAMA DESTINO]],Tabla49[ESPACIO ACADÉMICO DESTINO]&amp;Tabla49[PROGRAMA],Tabla49[CRÉDITOS],"")</f>
        <v>3</v>
      </c>
      <c r="J40" s="14">
        <v>4.5</v>
      </c>
      <c r="K40" s="10" t="s">
        <v>53</v>
      </c>
      <c r="L40" s="1"/>
      <c r="M40" s="1"/>
      <c r="N40" s="20" t="s">
        <v>194</v>
      </c>
      <c r="P40" s="4" t="s">
        <v>199</v>
      </c>
      <c r="Q40" s="18" t="s">
        <v>55</v>
      </c>
      <c r="R40" s="2"/>
      <c r="S40" s="2"/>
      <c r="X40" s="52" t="s">
        <v>53</v>
      </c>
      <c r="Y40" s="8">
        <v>48161</v>
      </c>
      <c r="Z40" s="7" t="s">
        <v>104</v>
      </c>
      <c r="AA40" s="8">
        <v>3</v>
      </c>
    </row>
    <row r="41" spans="3:27" ht="45" x14ac:dyDescent="0.25">
      <c r="C41" s="1" t="str">
        <f>_xlfn.XLOOKUP(Tabla9[[#This Row],[PROGRAMA ORIGEN]],PROGRAMAS_N[PROGRAMAS ORIGEN],PROGRAMAS_N[NIVEL],"")</f>
        <v>TECNÓLOGO</v>
      </c>
      <c r="D41" s="16" t="s">
        <v>72</v>
      </c>
      <c r="E41" s="14">
        <v>280603001</v>
      </c>
      <c r="F41" s="10" t="s">
        <v>196</v>
      </c>
      <c r="G41" s="10" cm="1">
        <f t="array" ref="G41">+_xlfn.XLOOKUP(Tabla9[[#This Row],[ESPACIO ACADÉMICO DESTINO]]&amp;Tabla9[[#This Row],[PROGRAMA DESTINO]],Tabla49[ESPACIO ACADÉMICO DESTINO]&amp;Tabla49[PROGRAMA],Tabla49[CÓDIGO],"")</f>
        <v>48162</v>
      </c>
      <c r="H41" s="10" t="s">
        <v>200</v>
      </c>
      <c r="I41" s="14" cm="1">
        <f t="array" ref="I41">+_xlfn.XLOOKUP(Tabla9[[#This Row],[ESPACIO ACADÉMICO DESTINO]]&amp;Tabla9[[#This Row],[PROGRAMA DESTINO]],Tabla49[ESPACIO ACADÉMICO DESTINO]&amp;Tabla49[PROGRAMA],Tabla49[CRÉDITOS],"")</f>
        <v>2</v>
      </c>
      <c r="J41" s="14">
        <v>4.5</v>
      </c>
      <c r="K41" s="10" t="s">
        <v>53</v>
      </c>
      <c r="L41" s="1"/>
      <c r="M41" s="1"/>
      <c r="N41" s="20" t="s">
        <v>174</v>
      </c>
      <c r="P41" s="4" t="s">
        <v>145</v>
      </c>
      <c r="Q41" s="18" t="s">
        <v>55</v>
      </c>
      <c r="R41" s="2"/>
      <c r="S41" s="2"/>
      <c r="X41" s="52" t="s">
        <v>53</v>
      </c>
      <c r="Y41" s="8">
        <v>73633</v>
      </c>
      <c r="Z41" s="8" t="s">
        <v>201</v>
      </c>
      <c r="AA41" s="8">
        <v>2</v>
      </c>
    </row>
    <row r="42" spans="3:27" ht="45" x14ac:dyDescent="0.25">
      <c r="C42" s="1" t="str">
        <f>_xlfn.XLOOKUP(Tabla9[[#This Row],[PROGRAMA ORIGEN]],PROGRAMAS_N[PROGRAMAS ORIGEN],PROGRAMAS_N[NIVEL],"")</f>
        <v>TECNÓLOGO</v>
      </c>
      <c r="D42" s="16" t="s">
        <v>72</v>
      </c>
      <c r="E42" s="14">
        <v>220201003</v>
      </c>
      <c r="F42" s="10" t="s">
        <v>166</v>
      </c>
      <c r="G42" s="10" cm="1">
        <f t="array" ref="G42">+_xlfn.XLOOKUP(Tabla9[[#This Row],[ESPACIO ACADÉMICO DESTINO]]&amp;Tabla9[[#This Row],[PROGRAMA DESTINO]],Tabla49[ESPACIO ACADÉMICO DESTINO]&amp;Tabla49[PROGRAMA],Tabla49[CÓDIGO],"")</f>
        <v>16423</v>
      </c>
      <c r="H42" s="10" t="s">
        <v>110</v>
      </c>
      <c r="I42" s="14" cm="1">
        <f t="array" ref="I42">+_xlfn.XLOOKUP(Tabla9[[#This Row],[ESPACIO ACADÉMICO DESTINO]]&amp;Tabla9[[#This Row],[PROGRAMA DESTINO]],Tabla49[ESPACIO ACADÉMICO DESTINO]&amp;Tabla49[PROGRAMA],Tabla49[CRÉDITOS],"")</f>
        <v>2</v>
      </c>
      <c r="J42" s="14">
        <v>4.5</v>
      </c>
      <c r="K42" s="10" t="s">
        <v>53</v>
      </c>
      <c r="L42" s="1"/>
      <c r="M42" s="1"/>
      <c r="N42" s="20" t="s">
        <v>138</v>
      </c>
      <c r="P42" s="4" t="s">
        <v>164</v>
      </c>
      <c r="Q42" s="18" t="s">
        <v>55</v>
      </c>
      <c r="R42" s="2"/>
      <c r="S42" s="2"/>
      <c r="X42" s="52" t="s">
        <v>53</v>
      </c>
      <c r="Y42" s="8">
        <v>95112</v>
      </c>
      <c r="Z42" s="7" t="s">
        <v>202</v>
      </c>
      <c r="AA42" s="8">
        <v>2</v>
      </c>
    </row>
    <row r="43" spans="3:27" ht="45" x14ac:dyDescent="0.25">
      <c r="C43" s="1" t="str">
        <f>_xlfn.XLOOKUP(Tabla9[[#This Row],[PROGRAMA ORIGEN]],PROGRAMAS_N[PROGRAMAS ORIGEN],PROGRAMAS_N[NIVEL],"")</f>
        <v>TECNÓLOGO</v>
      </c>
      <c r="D43" s="16" t="s">
        <v>72</v>
      </c>
      <c r="E43" s="14">
        <v>220201005</v>
      </c>
      <c r="F43" s="10" t="s">
        <v>203</v>
      </c>
      <c r="G43" s="10" cm="1">
        <f t="array" ref="G43">+_xlfn.XLOOKUP(Tabla9[[#This Row],[ESPACIO ACADÉMICO DESTINO]]&amp;Tabla9[[#This Row],[PROGRAMA DESTINO]],Tabla49[ESPACIO ACADÉMICO DESTINO]&amp;Tabla49[PROGRAMA],Tabla49[CÓDIGO],"")</f>
        <v>48156</v>
      </c>
      <c r="H43" s="10" t="s">
        <v>126</v>
      </c>
      <c r="I43" s="14" cm="1">
        <f t="array" ref="I43">+_xlfn.XLOOKUP(Tabla9[[#This Row],[ESPACIO ACADÉMICO DESTINO]]&amp;Tabla9[[#This Row],[PROGRAMA DESTINO]],Tabla49[ESPACIO ACADÉMICO DESTINO]&amp;Tabla49[PROGRAMA],Tabla49[CRÉDITOS],"")</f>
        <v>2</v>
      </c>
      <c r="J43" s="14">
        <v>4.5</v>
      </c>
      <c r="K43" s="10" t="s">
        <v>53</v>
      </c>
      <c r="L43" s="1"/>
      <c r="M43" s="1"/>
      <c r="N43" s="20" t="s">
        <v>197</v>
      </c>
      <c r="P43" s="4" t="s">
        <v>190</v>
      </c>
      <c r="Q43" s="18" t="s">
        <v>55</v>
      </c>
      <c r="R43" s="2"/>
      <c r="S43" s="2"/>
      <c r="X43" s="52" t="s">
        <v>53</v>
      </c>
      <c r="Y43" s="8">
        <v>16423</v>
      </c>
      <c r="Z43" s="8" t="s">
        <v>110</v>
      </c>
      <c r="AA43" s="8">
        <v>2</v>
      </c>
    </row>
    <row r="44" spans="3:27" ht="45" x14ac:dyDescent="0.25">
      <c r="C44" s="1" t="str">
        <f>_xlfn.XLOOKUP(Tabla9[[#This Row],[PROGRAMA ORIGEN]],PROGRAMAS_N[PROGRAMAS ORIGEN],PROGRAMAS_N[NIVEL],"")</f>
        <v>TECNÓLOGO</v>
      </c>
      <c r="D44" s="16" t="s">
        <v>72</v>
      </c>
      <c r="E44" s="14">
        <v>220201005</v>
      </c>
      <c r="F44" s="10" t="s">
        <v>203</v>
      </c>
      <c r="G44" s="10" cm="1">
        <f t="array" ref="G44">+_xlfn.XLOOKUP(Tabla9[[#This Row],[ESPACIO ACADÉMICO DESTINO]]&amp;Tabla9[[#This Row],[PROGRAMA DESTINO]],Tabla49[ESPACIO ACADÉMICO DESTINO]&amp;Tabla49[PROGRAMA],Tabla49[CÓDIGO],"")</f>
        <v>48148</v>
      </c>
      <c r="H44" s="10" t="s">
        <v>70</v>
      </c>
      <c r="I44" s="14" cm="1">
        <f t="array" ref="I44">+_xlfn.XLOOKUP(Tabla9[[#This Row],[ESPACIO ACADÉMICO DESTINO]]&amp;Tabla9[[#This Row],[PROGRAMA DESTINO]],Tabla49[ESPACIO ACADÉMICO DESTINO]&amp;Tabla49[PROGRAMA],Tabla49[CRÉDITOS],"")</f>
        <v>2</v>
      </c>
      <c r="J44" s="14">
        <v>4.5</v>
      </c>
      <c r="K44" s="10" t="s">
        <v>53</v>
      </c>
      <c r="L44" s="1"/>
      <c r="M44" s="1"/>
      <c r="N44" s="20" t="s">
        <v>99</v>
      </c>
      <c r="P44" s="4" t="s">
        <v>167</v>
      </c>
      <c r="Q44" s="18" t="s">
        <v>55</v>
      </c>
      <c r="R44" s="2"/>
      <c r="S44" s="2"/>
      <c r="X44" s="52" t="s">
        <v>53</v>
      </c>
      <c r="Y44" s="8">
        <v>48162</v>
      </c>
      <c r="Z44" s="7" t="s">
        <v>200</v>
      </c>
      <c r="AA44" s="8">
        <v>2</v>
      </c>
    </row>
    <row r="45" spans="3:27" ht="45" x14ac:dyDescent="0.25">
      <c r="C45" s="1" t="str">
        <f>_xlfn.XLOOKUP(Tabla9[[#This Row],[PROGRAMA ORIGEN]],PROGRAMAS_N[PROGRAMAS ORIGEN],PROGRAMAS_N[NIVEL],"")</f>
        <v>TECNÓLOGO</v>
      </c>
      <c r="D45" s="16" t="s">
        <v>72</v>
      </c>
      <c r="E45" s="14">
        <v>220201006</v>
      </c>
      <c r="F45" s="10" t="s">
        <v>178</v>
      </c>
      <c r="G45" s="10" cm="1">
        <f t="array" ref="G45">+_xlfn.XLOOKUP(Tabla9[[#This Row],[ESPACIO ACADÉMICO DESTINO]]&amp;Tabla9[[#This Row],[PROGRAMA DESTINO]],Tabla49[ESPACIO ACADÉMICO DESTINO]&amp;Tabla49[PROGRAMA],Tabla49[CÓDIGO],"")</f>
        <v>48163</v>
      </c>
      <c r="H45" s="10" t="s">
        <v>179</v>
      </c>
      <c r="I45" s="14" cm="1">
        <f t="array" ref="I45">+_xlfn.XLOOKUP(Tabla9[[#This Row],[ESPACIO ACADÉMICO DESTINO]]&amp;Tabla9[[#This Row],[PROGRAMA DESTINO]],Tabla49[ESPACIO ACADÉMICO DESTINO]&amp;Tabla49[PROGRAMA],Tabla49[CRÉDITOS],"")</f>
        <v>3</v>
      </c>
      <c r="J45" s="14">
        <v>4.5</v>
      </c>
      <c r="K45" s="10" t="s">
        <v>53</v>
      </c>
      <c r="L45" s="1"/>
      <c r="M45" s="1"/>
      <c r="N45" s="20" t="s">
        <v>204</v>
      </c>
      <c r="P45" s="4" t="s">
        <v>173</v>
      </c>
      <c r="Q45" s="18" t="s">
        <v>55</v>
      </c>
      <c r="R45" s="2"/>
      <c r="S45" s="2"/>
      <c r="X45" s="52" t="s">
        <v>53</v>
      </c>
      <c r="Y45" s="8">
        <v>48163</v>
      </c>
      <c r="Z45" s="8" t="s">
        <v>179</v>
      </c>
      <c r="AA45" s="8">
        <v>3</v>
      </c>
    </row>
    <row r="46" spans="3:27" ht="60" x14ac:dyDescent="0.25">
      <c r="C46" s="1" t="str">
        <f>_xlfn.XLOOKUP(Tabla9[[#This Row],[PROGRAMA ORIGEN]],PROGRAMAS_N[PROGRAMAS ORIGEN],PROGRAMAS_N[NIVEL],"")</f>
        <v>TECNÓLOGO</v>
      </c>
      <c r="D46" s="16" t="s">
        <v>72</v>
      </c>
      <c r="E46" s="14">
        <v>230101104</v>
      </c>
      <c r="F46" s="10" t="s">
        <v>205</v>
      </c>
      <c r="G46" s="10" cm="1">
        <f t="array" ref="G46">+_xlfn.XLOOKUP(Tabla9[[#This Row],[ESPACIO ACADÉMICO DESTINO]]&amp;Tabla9[[#This Row],[PROGRAMA DESTINO]],Tabla49[ESPACIO ACADÉMICO DESTINO]&amp;Tabla49[PROGRAMA],Tabla49[CÓDIGO],"")</f>
        <v>48168</v>
      </c>
      <c r="H46" s="10" t="s">
        <v>122</v>
      </c>
      <c r="I46" s="14" cm="1">
        <f t="array" ref="I46">+_xlfn.XLOOKUP(Tabla9[[#This Row],[ESPACIO ACADÉMICO DESTINO]]&amp;Tabla9[[#This Row],[PROGRAMA DESTINO]],Tabla49[ESPACIO ACADÉMICO DESTINO]&amp;Tabla49[PROGRAMA],Tabla49[CRÉDITOS],"")</f>
        <v>2</v>
      </c>
      <c r="J46" s="14">
        <v>4.5</v>
      </c>
      <c r="K46" s="10" t="s">
        <v>53</v>
      </c>
      <c r="L46" s="1"/>
      <c r="M46" s="1"/>
      <c r="N46" s="20" t="s">
        <v>79</v>
      </c>
      <c r="P46" s="4" t="s">
        <v>206</v>
      </c>
      <c r="Q46" s="18" t="s">
        <v>57</v>
      </c>
      <c r="R46" s="2"/>
      <c r="S46" s="2"/>
      <c r="X46" s="52" t="s">
        <v>53</v>
      </c>
      <c r="Y46" s="8">
        <v>48164</v>
      </c>
      <c r="Z46" s="8" t="s">
        <v>207</v>
      </c>
      <c r="AA46" s="8">
        <v>2</v>
      </c>
    </row>
    <row r="47" spans="3:27" ht="45" x14ac:dyDescent="0.25">
      <c r="C47" s="1" t="str">
        <f>_xlfn.XLOOKUP(Tabla9[[#This Row],[PROGRAMA ORIGEN]],PROGRAMAS_N[PROGRAMAS ORIGEN],PROGRAMAS_N[NIVEL],"")</f>
        <v>TECNÓLOGO</v>
      </c>
      <c r="D47" s="16" t="s">
        <v>72</v>
      </c>
      <c r="E47" s="14">
        <v>240201500</v>
      </c>
      <c r="F47" s="10" t="s">
        <v>144</v>
      </c>
      <c r="G47" s="10" cm="1">
        <f t="array" ref="G47">+_xlfn.XLOOKUP(Tabla9[[#This Row],[ESPACIO ACADÉMICO DESTINO]]&amp;Tabla9[[#This Row],[PROGRAMA DESTINO]],Tabla49[ESPACIO ACADÉMICO DESTINO]&amp;Tabla49[PROGRAMA],Tabla49[CÓDIGO],"")</f>
        <v>15135</v>
      </c>
      <c r="H47" s="10" t="s">
        <v>56</v>
      </c>
      <c r="I47" s="14" cm="1">
        <f t="array" ref="I47">+_xlfn.XLOOKUP(Tabla9[[#This Row],[ESPACIO ACADÉMICO DESTINO]]&amp;Tabla9[[#This Row],[PROGRAMA DESTINO]],Tabla49[ESPACIO ACADÉMICO DESTINO]&amp;Tabla49[PROGRAMA],Tabla49[CRÉDITOS],"")</f>
        <v>2</v>
      </c>
      <c r="J47" s="14">
        <v>4.5</v>
      </c>
      <c r="K47" s="10" t="s">
        <v>53</v>
      </c>
      <c r="L47" s="1"/>
      <c r="M47" s="1"/>
      <c r="N47" s="20" t="s">
        <v>176</v>
      </c>
      <c r="P47" s="4" t="s">
        <v>208</v>
      </c>
      <c r="Q47" s="18" t="s">
        <v>57</v>
      </c>
      <c r="R47" s="2"/>
      <c r="S47" s="2"/>
      <c r="X47" s="52" t="s">
        <v>53</v>
      </c>
      <c r="Y47" s="8">
        <v>48165</v>
      </c>
      <c r="Z47" s="7" t="s">
        <v>209</v>
      </c>
      <c r="AA47" s="8">
        <v>2</v>
      </c>
    </row>
    <row r="48" spans="3:27" ht="45" x14ac:dyDescent="0.25">
      <c r="C48" s="1" t="str">
        <f>_xlfn.XLOOKUP(Tabla9[[#This Row],[PROGRAMA ORIGEN]],PROGRAMAS_N[PROGRAMAS ORIGEN],PROGRAMAS_N[NIVEL],"")</f>
        <v>TECNÓLOGO</v>
      </c>
      <c r="D48" s="16" t="s">
        <v>79</v>
      </c>
      <c r="E48" s="14">
        <v>291001012</v>
      </c>
      <c r="F48" s="10" t="s">
        <v>210</v>
      </c>
      <c r="G48" s="10" cm="1">
        <f t="array" ref="G48">+_xlfn.XLOOKUP(Tabla9[[#This Row],[ESPACIO ACADÉMICO DESTINO]]&amp;Tabla9[[#This Row],[PROGRAMA DESTINO]],Tabla49[ESPACIO ACADÉMICO DESTINO]&amp;Tabla49[PROGRAMA],Tabla49[CÓDIGO],"")</f>
        <v>48132</v>
      </c>
      <c r="H48" s="10" t="s">
        <v>52</v>
      </c>
      <c r="I48" s="14" cm="1">
        <f t="array" ref="I48">+_xlfn.XLOOKUP(Tabla9[[#This Row],[ESPACIO ACADÉMICO DESTINO]]&amp;Tabla9[[#This Row],[PROGRAMA DESTINO]],Tabla49[ESPACIO ACADÉMICO DESTINO]&amp;Tabla49[PROGRAMA],Tabla49[CRÉDITOS],"")</f>
        <v>3</v>
      </c>
      <c r="J48" s="14">
        <v>4.5</v>
      </c>
      <c r="K48" s="10" t="s">
        <v>53</v>
      </c>
      <c r="L48" s="1"/>
      <c r="M48" s="1"/>
      <c r="N48" s="20" t="s">
        <v>199</v>
      </c>
      <c r="P48" s="4" t="s">
        <v>211</v>
      </c>
      <c r="Q48" s="18" t="s">
        <v>57</v>
      </c>
      <c r="R48" s="2"/>
      <c r="S48" s="2"/>
      <c r="X48" s="52" t="s">
        <v>53</v>
      </c>
      <c r="Y48" s="8">
        <v>48166</v>
      </c>
      <c r="Z48" s="8" t="s">
        <v>140</v>
      </c>
      <c r="AA48" s="8">
        <v>3</v>
      </c>
    </row>
    <row r="49" spans="3:27" ht="45" x14ac:dyDescent="0.25">
      <c r="C49" s="1" t="str">
        <f>_xlfn.XLOOKUP(Tabla9[[#This Row],[PROGRAMA ORIGEN]],PROGRAMAS_N[PROGRAMAS ORIGEN],PROGRAMAS_N[NIVEL],"")</f>
        <v>TECNÓLOGO</v>
      </c>
      <c r="D49" s="16" t="s">
        <v>79</v>
      </c>
      <c r="E49" s="14">
        <v>291001012</v>
      </c>
      <c r="F49" s="10" t="s">
        <v>210</v>
      </c>
      <c r="G49" s="10" cm="1">
        <f t="array" ref="G49">+_xlfn.XLOOKUP(Tabla9[[#This Row],[ESPACIO ACADÉMICO DESTINO]]&amp;Tabla9[[#This Row],[PROGRAMA DESTINO]],Tabla49[ESPACIO ACADÉMICO DESTINO]&amp;Tabla49[PROGRAMA],Tabla49[CÓDIGO],"")</f>
        <v>48157</v>
      </c>
      <c r="H49" s="10" t="s">
        <v>83</v>
      </c>
      <c r="I49" s="14" cm="1">
        <f t="array" ref="I49">+_xlfn.XLOOKUP(Tabla9[[#This Row],[ESPACIO ACADÉMICO DESTINO]]&amp;Tabla9[[#This Row],[PROGRAMA DESTINO]],Tabla49[ESPACIO ACADÉMICO DESTINO]&amp;Tabla49[PROGRAMA],Tabla49[CRÉDITOS],"")</f>
        <v>2</v>
      </c>
      <c r="J49" s="14">
        <v>4.5</v>
      </c>
      <c r="K49" s="10" t="s">
        <v>53</v>
      </c>
      <c r="L49" s="1"/>
      <c r="M49" s="1"/>
      <c r="N49" s="20" t="s">
        <v>155</v>
      </c>
      <c r="P49" s="4" t="s">
        <v>212</v>
      </c>
      <c r="Q49" s="18" t="s">
        <v>57</v>
      </c>
      <c r="R49" s="2"/>
      <c r="S49" s="2"/>
      <c r="X49" s="52" t="s">
        <v>53</v>
      </c>
      <c r="Y49" s="8">
        <v>73638</v>
      </c>
      <c r="Z49" s="7" t="s">
        <v>213</v>
      </c>
      <c r="AA49" s="8">
        <v>2</v>
      </c>
    </row>
    <row r="50" spans="3:27" ht="45" x14ac:dyDescent="0.25">
      <c r="C50" s="1" t="str">
        <f>_xlfn.XLOOKUP(Tabla9[[#This Row],[PROGRAMA ORIGEN]],PROGRAMAS_N[PROGRAMAS ORIGEN],PROGRAMAS_N[NIVEL],"")</f>
        <v>TECNÓLOGO</v>
      </c>
      <c r="D50" s="16" t="s">
        <v>79</v>
      </c>
      <c r="E50" s="14">
        <v>291001012</v>
      </c>
      <c r="F50" s="10" t="s">
        <v>210</v>
      </c>
      <c r="G50" s="10" cm="1">
        <f t="array" ref="G50">+_xlfn.XLOOKUP(Tabla9[[#This Row],[ESPACIO ACADÉMICO DESTINO]]&amp;Tabla9[[#This Row],[PROGRAMA DESTINO]],Tabla49[ESPACIO ACADÉMICO DESTINO]&amp;Tabla49[PROGRAMA],Tabla49[CÓDIGO],"")</f>
        <v>48158</v>
      </c>
      <c r="H50" s="10" t="s">
        <v>119</v>
      </c>
      <c r="I50" s="14" cm="1">
        <f t="array" ref="I50">+_xlfn.XLOOKUP(Tabla9[[#This Row],[ESPACIO ACADÉMICO DESTINO]]&amp;Tabla9[[#This Row],[PROGRAMA DESTINO]],Tabla49[ESPACIO ACADÉMICO DESTINO]&amp;Tabla49[PROGRAMA],Tabla49[CRÉDITOS],"")</f>
        <v>2</v>
      </c>
      <c r="J50" s="14">
        <v>4.5</v>
      </c>
      <c r="K50" s="10" t="s">
        <v>53</v>
      </c>
      <c r="L50" s="1"/>
      <c r="M50" s="1"/>
      <c r="N50" s="20" t="s">
        <v>115</v>
      </c>
      <c r="P50" s="4" t="s">
        <v>204</v>
      </c>
      <c r="Q50" s="18" t="s">
        <v>57</v>
      </c>
      <c r="R50" s="2"/>
      <c r="S50" s="2"/>
      <c r="X50" s="52" t="s">
        <v>53</v>
      </c>
      <c r="Y50" s="8">
        <v>95113</v>
      </c>
      <c r="Z50" s="8" t="s">
        <v>214</v>
      </c>
      <c r="AA50" s="8">
        <v>2</v>
      </c>
    </row>
    <row r="51" spans="3:27" ht="45" x14ac:dyDescent="0.25">
      <c r="C51" s="1" t="str">
        <f>_xlfn.XLOOKUP(Tabla9[[#This Row],[PROGRAMA ORIGEN]],PROGRAMAS_N[PROGRAMAS ORIGEN],PROGRAMAS_N[NIVEL],"")</f>
        <v>TECNÓLOGO</v>
      </c>
      <c r="D51" s="16" t="s">
        <v>79</v>
      </c>
      <c r="E51" s="14">
        <v>291001059</v>
      </c>
      <c r="F51" s="10" t="s">
        <v>215</v>
      </c>
      <c r="G51" s="10" cm="1">
        <f t="array" ref="G51">+_xlfn.XLOOKUP(Tabla9[[#This Row],[ESPACIO ACADÉMICO DESTINO]]&amp;Tabla9[[#This Row],[PROGRAMA DESTINO]],Tabla49[ESPACIO ACADÉMICO DESTINO]&amp;Tabla49[PROGRAMA],Tabla49[CÓDIGO],"")</f>
        <v>73514</v>
      </c>
      <c r="H51" s="10" t="s">
        <v>90</v>
      </c>
      <c r="I51" s="14" cm="1">
        <f t="array" ref="I51">+_xlfn.XLOOKUP(Tabla9[[#This Row],[ESPACIO ACADÉMICO DESTINO]]&amp;Tabla9[[#This Row],[PROGRAMA DESTINO]],Tabla49[ESPACIO ACADÉMICO DESTINO]&amp;Tabla49[PROGRAMA],Tabla49[CRÉDITOS],"")</f>
        <v>3</v>
      </c>
      <c r="J51" s="14">
        <v>4.5</v>
      </c>
      <c r="K51" s="10" t="s">
        <v>53</v>
      </c>
      <c r="L51" s="1"/>
      <c r="M51" s="1"/>
      <c r="N51" s="20" t="s">
        <v>206</v>
      </c>
      <c r="P51" s="4" t="s">
        <v>216</v>
      </c>
      <c r="Q51" s="18" t="s">
        <v>57</v>
      </c>
      <c r="R51" s="2"/>
      <c r="S51" s="2"/>
      <c r="X51" s="52" t="s">
        <v>53</v>
      </c>
      <c r="Y51" s="8">
        <v>16395</v>
      </c>
      <c r="Z51" s="7" t="s">
        <v>217</v>
      </c>
      <c r="AA51" s="8">
        <v>3</v>
      </c>
    </row>
    <row r="52" spans="3:27" ht="45" x14ac:dyDescent="0.25">
      <c r="C52" s="1" t="str">
        <f>_xlfn.XLOOKUP(Tabla9[[#This Row],[PROGRAMA ORIGEN]],PROGRAMAS_N[PROGRAMAS ORIGEN],PROGRAMAS_N[NIVEL],"")</f>
        <v>TECNÓLOGO</v>
      </c>
      <c r="D52" s="16" t="s">
        <v>79</v>
      </c>
      <c r="E52" s="14">
        <v>291001059</v>
      </c>
      <c r="F52" s="10" t="s">
        <v>215</v>
      </c>
      <c r="G52" s="10" cm="1">
        <f t="array" ref="G52">+_xlfn.XLOOKUP(Tabla9[[#This Row],[ESPACIO ACADÉMICO DESTINO]]&amp;Tabla9[[#This Row],[PROGRAMA DESTINO]],Tabla49[ESPACIO ACADÉMICO DESTINO]&amp;Tabla49[PROGRAMA],Tabla49[CÓDIGO],"")</f>
        <v>48171</v>
      </c>
      <c r="H52" s="10" t="s">
        <v>137</v>
      </c>
      <c r="I52" s="14" cm="1">
        <f t="array" ref="I52">+_xlfn.XLOOKUP(Tabla9[[#This Row],[ESPACIO ACADÉMICO DESTINO]]&amp;Tabla9[[#This Row],[PROGRAMA DESTINO]],Tabla49[ESPACIO ACADÉMICO DESTINO]&amp;Tabla49[PROGRAMA],Tabla49[CRÉDITOS],"")</f>
        <v>3</v>
      </c>
      <c r="J52" s="14">
        <v>4.5</v>
      </c>
      <c r="K52" s="10" t="s">
        <v>53</v>
      </c>
      <c r="L52" s="1"/>
      <c r="M52" s="1"/>
      <c r="N52" s="20" t="s">
        <v>208</v>
      </c>
      <c r="P52" s="4" t="s">
        <v>218</v>
      </c>
      <c r="Q52" s="18" t="s">
        <v>57</v>
      </c>
      <c r="R52" s="2"/>
      <c r="S52" s="2"/>
      <c r="X52" s="52" t="s">
        <v>53</v>
      </c>
      <c r="Y52" s="8">
        <v>48167</v>
      </c>
      <c r="Z52" s="8" t="s">
        <v>97</v>
      </c>
      <c r="AA52" s="8">
        <v>3</v>
      </c>
    </row>
    <row r="53" spans="3:27" ht="45" x14ac:dyDescent="0.25">
      <c r="C53" s="1" t="str">
        <f>_xlfn.XLOOKUP(Tabla9[[#This Row],[PROGRAMA ORIGEN]],PROGRAMAS_N[PROGRAMAS ORIGEN],PROGRAMAS_N[NIVEL],"")</f>
        <v>TECNÓLOGO</v>
      </c>
      <c r="D53" s="16" t="s">
        <v>79</v>
      </c>
      <c r="E53" s="14">
        <v>270412003</v>
      </c>
      <c r="F53" s="10" t="s">
        <v>219</v>
      </c>
      <c r="G53" s="10" cm="1">
        <f t="array" ref="G53">+_xlfn.XLOOKUP(Tabla9[[#This Row],[ESPACIO ACADÉMICO DESTINO]]&amp;Tabla9[[#This Row],[PROGRAMA DESTINO]],Tabla49[ESPACIO ACADÉMICO DESTINO]&amp;Tabla49[PROGRAMA],Tabla49[CÓDIGO],"")</f>
        <v>16987</v>
      </c>
      <c r="H53" s="10" t="s">
        <v>62</v>
      </c>
      <c r="I53" s="14" cm="1">
        <f t="array" ref="I53">+_xlfn.XLOOKUP(Tabla9[[#This Row],[ESPACIO ACADÉMICO DESTINO]]&amp;Tabla9[[#This Row],[PROGRAMA DESTINO]],Tabla49[ESPACIO ACADÉMICO DESTINO]&amp;Tabla49[PROGRAMA],Tabla49[CRÉDITOS],"")</f>
        <v>2</v>
      </c>
      <c r="J53" s="14">
        <v>4.5</v>
      </c>
      <c r="K53" s="10" t="s">
        <v>53</v>
      </c>
      <c r="L53" s="1"/>
      <c r="M53" s="1"/>
      <c r="N53" s="20" t="s">
        <v>220</v>
      </c>
      <c r="P53" s="4" t="s">
        <v>221</v>
      </c>
      <c r="Q53" s="18" t="s">
        <v>57</v>
      </c>
      <c r="R53" s="2"/>
      <c r="S53" s="2"/>
      <c r="X53" s="52" t="s">
        <v>53</v>
      </c>
      <c r="Y53" s="8">
        <v>48168</v>
      </c>
      <c r="Z53" s="7" t="s">
        <v>122</v>
      </c>
      <c r="AA53" s="8">
        <v>2</v>
      </c>
    </row>
    <row r="54" spans="3:27" ht="45" x14ac:dyDescent="0.25">
      <c r="C54" s="1" t="str">
        <f>_xlfn.XLOOKUP(Tabla9[[#This Row],[PROGRAMA ORIGEN]],PROGRAMAS_N[PROGRAMAS ORIGEN],PROGRAMAS_N[NIVEL],"")</f>
        <v>TECNÓLOGO</v>
      </c>
      <c r="D54" s="16" t="s">
        <v>79</v>
      </c>
      <c r="E54" s="14">
        <v>270412003</v>
      </c>
      <c r="F54" s="10" t="s">
        <v>219</v>
      </c>
      <c r="G54" s="10" cm="1">
        <f t="array" ref="G54">+_xlfn.XLOOKUP(Tabla9[[#This Row],[ESPACIO ACADÉMICO DESTINO]]&amp;Tabla9[[#This Row],[PROGRAMA DESTINO]],Tabla49[ESPACIO ACADÉMICO DESTINO]&amp;Tabla49[PROGRAMA],Tabla49[CÓDIGO],"")</f>
        <v>48148</v>
      </c>
      <c r="H54" s="10" t="s">
        <v>70</v>
      </c>
      <c r="I54" s="14" cm="1">
        <f t="array" ref="I54">+_xlfn.XLOOKUP(Tabla9[[#This Row],[ESPACIO ACADÉMICO DESTINO]]&amp;Tabla9[[#This Row],[PROGRAMA DESTINO]],Tabla49[ESPACIO ACADÉMICO DESTINO]&amp;Tabla49[PROGRAMA],Tabla49[CRÉDITOS],"")</f>
        <v>2</v>
      </c>
      <c r="J54" s="14">
        <v>4.5</v>
      </c>
      <c r="K54" s="10" t="s">
        <v>53</v>
      </c>
      <c r="L54" s="1"/>
      <c r="M54" s="1"/>
      <c r="N54" s="20" t="s">
        <v>222</v>
      </c>
      <c r="P54" s="4" t="s">
        <v>223</v>
      </c>
      <c r="Q54" s="18" t="s">
        <v>57</v>
      </c>
      <c r="R54" s="2"/>
      <c r="S54" s="2"/>
      <c r="X54" s="52" t="s">
        <v>53</v>
      </c>
      <c r="Y54" s="8">
        <v>48169</v>
      </c>
      <c r="Z54" s="8" t="s">
        <v>224</v>
      </c>
      <c r="AA54" s="8">
        <v>2</v>
      </c>
    </row>
    <row r="55" spans="3:27" ht="45" x14ac:dyDescent="0.25">
      <c r="C55" s="1" t="str">
        <f>_xlfn.XLOOKUP(Tabla9[[#This Row],[PROGRAMA ORIGEN]],PROGRAMAS_N[PROGRAMAS ORIGEN],PROGRAMAS_N[NIVEL],"")</f>
        <v>TECNÓLOGO</v>
      </c>
      <c r="D55" s="16" t="s">
        <v>79</v>
      </c>
      <c r="E55" s="14">
        <v>270412003</v>
      </c>
      <c r="F55" s="10" t="s">
        <v>219</v>
      </c>
      <c r="G55" s="10" cm="1">
        <f t="array" ref="G55">+_xlfn.XLOOKUP(Tabla9[[#This Row],[ESPACIO ACADÉMICO DESTINO]]&amp;Tabla9[[#This Row],[PROGRAMA DESTINO]],Tabla49[ESPACIO ACADÉMICO DESTINO]&amp;Tabla49[PROGRAMA],Tabla49[CÓDIGO],"")</f>
        <v>48152</v>
      </c>
      <c r="H55" s="10" t="s">
        <v>133</v>
      </c>
      <c r="I55" s="14" cm="1">
        <f t="array" ref="I55">+_xlfn.XLOOKUP(Tabla9[[#This Row],[ESPACIO ACADÉMICO DESTINO]]&amp;Tabla9[[#This Row],[PROGRAMA DESTINO]],Tabla49[ESPACIO ACADÉMICO DESTINO]&amp;Tabla49[PROGRAMA],Tabla49[CRÉDITOS],"")</f>
        <v>3</v>
      </c>
      <c r="J55" s="14">
        <v>4.5</v>
      </c>
      <c r="K55" s="10" t="s">
        <v>53</v>
      </c>
      <c r="L55" s="1"/>
      <c r="M55" s="1"/>
      <c r="N55" s="20" t="s">
        <v>211</v>
      </c>
      <c r="P55" s="4" t="s">
        <v>220</v>
      </c>
      <c r="Q55" s="18" t="s">
        <v>57</v>
      </c>
      <c r="R55" s="2"/>
      <c r="S55" s="2"/>
      <c r="X55" s="52" t="s">
        <v>53</v>
      </c>
      <c r="Y55" s="8">
        <v>48170</v>
      </c>
      <c r="Z55" s="7" t="s">
        <v>113</v>
      </c>
      <c r="AA55" s="8">
        <v>3</v>
      </c>
    </row>
    <row r="56" spans="3:27" ht="45" x14ac:dyDescent="0.25">
      <c r="C56" s="1" t="str">
        <f>_xlfn.XLOOKUP(Tabla9[[#This Row],[PROGRAMA ORIGEN]],PROGRAMAS_N[PROGRAMAS ORIGEN],PROGRAMAS_N[NIVEL],"")</f>
        <v>TECNÓLOGO</v>
      </c>
      <c r="D56" s="16" t="s">
        <v>79</v>
      </c>
      <c r="E56" s="14">
        <v>270405018</v>
      </c>
      <c r="F56" s="10" t="s">
        <v>225</v>
      </c>
      <c r="G56" s="10" cm="1">
        <f t="array" ref="G56">+_xlfn.XLOOKUP(Tabla9[[#This Row],[ESPACIO ACADÉMICO DESTINO]]&amp;Tabla9[[#This Row],[PROGRAMA DESTINO]],Tabla49[ESPACIO ACADÉMICO DESTINO]&amp;Tabla49[PROGRAMA],Tabla49[CÓDIGO],"")</f>
        <v>48156</v>
      </c>
      <c r="H56" s="10" t="s">
        <v>126</v>
      </c>
      <c r="I56" s="14" cm="1">
        <f t="array" ref="I56">+_xlfn.XLOOKUP(Tabla9[[#This Row],[ESPACIO ACADÉMICO DESTINO]]&amp;Tabla9[[#This Row],[PROGRAMA DESTINO]],Tabla49[ESPACIO ACADÉMICO DESTINO]&amp;Tabla49[PROGRAMA],Tabla49[CRÉDITOS],"")</f>
        <v>2</v>
      </c>
      <c r="J56" s="14">
        <v>4.5</v>
      </c>
      <c r="K56" s="10" t="s">
        <v>53</v>
      </c>
      <c r="L56" s="1"/>
      <c r="M56" s="1"/>
      <c r="N56" s="20" t="s">
        <v>212</v>
      </c>
      <c r="P56" s="4" t="s">
        <v>162</v>
      </c>
      <c r="Q56" s="18" t="s">
        <v>55</v>
      </c>
      <c r="R56" s="2"/>
      <c r="S56" s="2"/>
      <c r="X56" s="52" t="s">
        <v>53</v>
      </c>
      <c r="Y56" s="8">
        <v>48171</v>
      </c>
      <c r="Z56" s="8" t="s">
        <v>137</v>
      </c>
      <c r="AA56" s="8">
        <v>3</v>
      </c>
    </row>
    <row r="57" spans="3:27" ht="45" x14ac:dyDescent="0.25">
      <c r="C57" s="1" t="str">
        <f>_xlfn.XLOOKUP(Tabla9[[#This Row],[PROGRAMA ORIGEN]],PROGRAMAS_N[PROGRAMAS ORIGEN],PROGRAMAS_N[NIVEL],"")</f>
        <v>TECNÓLOGO</v>
      </c>
      <c r="D57" s="16" t="s">
        <v>79</v>
      </c>
      <c r="E57" s="14">
        <v>270405018</v>
      </c>
      <c r="F57" s="10" t="s">
        <v>225</v>
      </c>
      <c r="G57" s="10" cm="1">
        <f t="array" ref="G57">+_xlfn.XLOOKUP(Tabla9[[#This Row],[ESPACIO ACADÉMICO DESTINO]]&amp;Tabla9[[#This Row],[PROGRAMA DESTINO]],Tabla49[ESPACIO ACADÉMICO DESTINO]&amp;Tabla49[PROGRAMA],Tabla49[CÓDIGO],"")</f>
        <v>48167</v>
      </c>
      <c r="H57" s="10" t="s">
        <v>97</v>
      </c>
      <c r="I57" s="14" cm="1">
        <f t="array" ref="I57">+_xlfn.XLOOKUP(Tabla9[[#This Row],[ESPACIO ACADÉMICO DESTINO]]&amp;Tabla9[[#This Row],[PROGRAMA DESTINO]],Tabla49[ESPACIO ACADÉMICO DESTINO]&amp;Tabla49[PROGRAMA],Tabla49[CRÉDITOS],"")</f>
        <v>3</v>
      </c>
      <c r="J57" s="14">
        <v>4.5</v>
      </c>
      <c r="K57" s="10" t="s">
        <v>53</v>
      </c>
      <c r="L57" s="1"/>
      <c r="M57" s="1"/>
      <c r="N57" s="20" t="s">
        <v>226</v>
      </c>
      <c r="P57" s="4" t="s">
        <v>71</v>
      </c>
      <c r="Q57" s="18" t="s">
        <v>55</v>
      </c>
      <c r="R57" s="2"/>
      <c r="S57" s="2"/>
      <c r="X57" s="52" t="s">
        <v>53</v>
      </c>
      <c r="Y57" s="8">
        <v>48172</v>
      </c>
      <c r="Z57" s="8" t="s">
        <v>168</v>
      </c>
      <c r="AA57" s="8">
        <v>3</v>
      </c>
    </row>
    <row r="58" spans="3:27" ht="45" x14ac:dyDescent="0.25">
      <c r="C58" s="1" t="str">
        <f>_xlfn.XLOOKUP(Tabla9[[#This Row],[PROGRAMA ORIGEN]],PROGRAMAS_N[PROGRAMAS ORIGEN],PROGRAMAS_N[NIVEL],"")</f>
        <v>TECNÓLOGO</v>
      </c>
      <c r="D58" s="16" t="s">
        <v>79</v>
      </c>
      <c r="E58" s="14">
        <v>291001010</v>
      </c>
      <c r="F58" s="10" t="s">
        <v>227</v>
      </c>
      <c r="G58" s="10" cm="1">
        <f t="array" ref="G58">+_xlfn.XLOOKUP(Tabla9[[#This Row],[ESPACIO ACADÉMICO DESTINO]]&amp;Tabla9[[#This Row],[PROGRAMA DESTINO]],Tabla49[ESPACIO ACADÉMICO DESTINO]&amp;Tabla49[PROGRAMA],Tabla49[CÓDIGO],"")</f>
        <v>48147</v>
      </c>
      <c r="H58" s="10" t="s">
        <v>150</v>
      </c>
      <c r="I58" s="14" cm="1">
        <f t="array" ref="I58">+_xlfn.XLOOKUP(Tabla9[[#This Row],[ESPACIO ACADÉMICO DESTINO]]&amp;Tabla9[[#This Row],[PROGRAMA DESTINO]],Tabla49[ESPACIO ACADÉMICO DESTINO]&amp;Tabla49[PROGRAMA],Tabla49[CRÉDITOS],"")</f>
        <v>2</v>
      </c>
      <c r="J58" s="14">
        <v>4.5</v>
      </c>
      <c r="K58" s="10" t="s">
        <v>53</v>
      </c>
      <c r="L58" s="1"/>
      <c r="M58" s="1"/>
      <c r="N58" s="16" t="s">
        <v>216</v>
      </c>
      <c r="P58" s="4" t="s">
        <v>222</v>
      </c>
      <c r="Q58" s="18" t="s">
        <v>55</v>
      </c>
      <c r="R58" s="2"/>
      <c r="S58" s="2"/>
      <c r="X58" s="52" t="s">
        <v>53</v>
      </c>
      <c r="Y58" s="8">
        <v>48173</v>
      </c>
      <c r="Z58" s="7" t="s">
        <v>228</v>
      </c>
      <c r="AA58" s="8">
        <v>12</v>
      </c>
    </row>
    <row r="59" spans="3:27" ht="45" x14ac:dyDescent="0.25">
      <c r="C59" s="1" t="str">
        <f>_xlfn.XLOOKUP(Tabla9[[#This Row],[PROGRAMA ORIGEN]],PROGRAMAS_N[PROGRAMAS ORIGEN],PROGRAMAS_N[NIVEL],"")</f>
        <v>TECNÓLOGO</v>
      </c>
      <c r="D59" s="16" t="s">
        <v>79</v>
      </c>
      <c r="E59" s="14">
        <v>250701033</v>
      </c>
      <c r="F59" s="10" t="s">
        <v>229</v>
      </c>
      <c r="G59" s="10" cm="1">
        <f t="array" ref="G59">+_xlfn.XLOOKUP(Tabla9[[#This Row],[ESPACIO ACADÉMICO DESTINO]]&amp;Tabla9[[#This Row],[PROGRAMA DESTINO]],Tabla49[ESPACIO ACADÉMICO DESTINO]&amp;Tabla49[PROGRAMA],Tabla49[CÓDIGO],"")</f>
        <v>48161</v>
      </c>
      <c r="H59" s="10" t="s">
        <v>230</v>
      </c>
      <c r="I59" s="14" cm="1">
        <f t="array" ref="I59">+_xlfn.XLOOKUP(Tabla9[[#This Row],[ESPACIO ACADÉMICO DESTINO]]&amp;Tabla9[[#This Row],[PROGRAMA DESTINO]],Tabla49[ESPACIO ACADÉMICO DESTINO]&amp;Tabla49[PROGRAMA],Tabla49[CRÉDITOS],"")</f>
        <v>3</v>
      </c>
      <c r="J59" s="14">
        <v>4.5</v>
      </c>
      <c r="K59" s="10" t="s">
        <v>53</v>
      </c>
      <c r="L59" s="1"/>
      <c r="M59" s="1"/>
      <c r="N59" s="16" t="s">
        <v>218</v>
      </c>
      <c r="P59" s="4" t="s">
        <v>226</v>
      </c>
      <c r="Q59" s="19" t="s">
        <v>55</v>
      </c>
      <c r="R59" s="2"/>
      <c r="S59" s="2"/>
      <c r="X59" s="52" t="s">
        <v>73</v>
      </c>
      <c r="Y59" s="8">
        <v>73249</v>
      </c>
      <c r="Z59" s="8" t="s">
        <v>231</v>
      </c>
      <c r="AA59" s="8">
        <v>3</v>
      </c>
    </row>
    <row r="60" spans="3:27" ht="45" x14ac:dyDescent="0.25">
      <c r="C60" s="1" t="str">
        <f>_xlfn.XLOOKUP(Tabla9[[#This Row],[PROGRAMA ORIGEN]],PROGRAMAS_N[PROGRAMAS ORIGEN],PROGRAMAS_N[NIVEL],"")</f>
        <v>TECNÓLOGO</v>
      </c>
      <c r="D60" s="16" t="s">
        <v>79</v>
      </c>
      <c r="E60" s="14">
        <v>240201500</v>
      </c>
      <c r="F60" s="10" t="s">
        <v>144</v>
      </c>
      <c r="G60" s="10" cm="1">
        <f t="array" ref="G60">+_xlfn.XLOOKUP(Tabla9[[#This Row],[ESPACIO ACADÉMICO DESTINO]]&amp;Tabla9[[#This Row],[PROGRAMA DESTINO]],Tabla49[ESPACIO ACADÉMICO DESTINO]&amp;Tabla49[PROGRAMA],Tabla49[CÓDIGO],"")</f>
        <v>15135</v>
      </c>
      <c r="H60" s="10" t="s">
        <v>56</v>
      </c>
      <c r="I60" s="14" cm="1">
        <f t="array" ref="I60">+_xlfn.XLOOKUP(Tabla9[[#This Row],[ESPACIO ACADÉMICO DESTINO]]&amp;Tabla9[[#This Row],[PROGRAMA DESTINO]],Tabla49[ESPACIO ACADÉMICO DESTINO]&amp;Tabla49[PROGRAMA],Tabla49[CRÉDITOS],"")</f>
        <v>2</v>
      </c>
      <c r="J60" s="14">
        <v>4.5</v>
      </c>
      <c r="K60" s="10" t="s">
        <v>53</v>
      </c>
      <c r="L60" s="1"/>
      <c r="M60" s="1"/>
      <c r="N60" s="16" t="s">
        <v>221</v>
      </c>
      <c r="P60" s="4" t="s">
        <v>105</v>
      </c>
      <c r="Q60" s="19" t="s">
        <v>57</v>
      </c>
      <c r="X60" s="52" t="s">
        <v>73</v>
      </c>
      <c r="Y60" s="8">
        <v>48241</v>
      </c>
      <c r="Z60" s="7" t="s">
        <v>232</v>
      </c>
      <c r="AA60" s="8">
        <v>3</v>
      </c>
    </row>
    <row r="61" spans="3:27" ht="60" x14ac:dyDescent="0.25">
      <c r="C61" s="1" t="str">
        <f>_xlfn.XLOOKUP(Tabla9[[#This Row],[PROGRAMA ORIGEN]],PROGRAMAS_N[PROGRAMAS ORIGEN],PROGRAMAS_N[NIVEL],"")</f>
        <v>TECNÓLOGO</v>
      </c>
      <c r="D61" s="16" t="s">
        <v>78</v>
      </c>
      <c r="E61" s="14">
        <v>24021500</v>
      </c>
      <c r="F61" s="10" t="s">
        <v>144</v>
      </c>
      <c r="G61" s="10" cm="1">
        <f t="array" ref="G61">+_xlfn.XLOOKUP(Tabla9[[#This Row],[ESPACIO ACADÉMICO DESTINO]]&amp;Tabla9[[#This Row],[PROGRAMA DESTINO]],Tabla49[ESPACIO ACADÉMICO DESTINO]&amp;Tabla49[PROGRAMA],Tabla49[CÓDIGO],"")</f>
        <v>15135</v>
      </c>
      <c r="H61" s="10" t="s">
        <v>56</v>
      </c>
      <c r="I61" s="14" cm="1">
        <f t="array" ref="I61">+_xlfn.XLOOKUP(Tabla9[[#This Row],[ESPACIO ACADÉMICO DESTINO]]&amp;Tabla9[[#This Row],[PROGRAMA DESTINO]],Tabla49[ESPACIO ACADÉMICO DESTINO]&amp;Tabla49[PROGRAMA],Tabla49[CRÉDITOS],"")</f>
        <v>2</v>
      </c>
      <c r="J61" s="14">
        <v>4.5</v>
      </c>
      <c r="K61" s="10" t="s">
        <v>53</v>
      </c>
      <c r="L61" s="1"/>
      <c r="M61" s="1"/>
      <c r="N61" s="16" t="s">
        <v>191</v>
      </c>
      <c r="P61" s="4" t="s">
        <v>141</v>
      </c>
      <c r="Q61" s="19" t="s">
        <v>55</v>
      </c>
      <c r="X61" s="52" t="s">
        <v>73</v>
      </c>
      <c r="Y61" s="8">
        <v>48242</v>
      </c>
      <c r="Z61" s="7" t="s">
        <v>233</v>
      </c>
      <c r="AA61" s="8">
        <v>3</v>
      </c>
    </row>
    <row r="62" spans="3:27" ht="60" x14ac:dyDescent="0.25">
      <c r="C62" s="1" t="str">
        <f>_xlfn.XLOOKUP(Tabla9[[#This Row],[PROGRAMA ORIGEN]],PROGRAMAS_N[PROGRAMAS ORIGEN],PROGRAMAS_N[NIVEL],"")</f>
        <v>TECNÓLOGO</v>
      </c>
      <c r="D62" s="16" t="s">
        <v>78</v>
      </c>
      <c r="E62" s="14">
        <v>280201048</v>
      </c>
      <c r="F62" s="10" t="s">
        <v>234</v>
      </c>
      <c r="G62" s="10" cm="1">
        <f t="array" ref="G62">+_xlfn.XLOOKUP(Tabla9[[#This Row],[ESPACIO ACADÉMICO DESTINO]]&amp;Tabla9[[#This Row],[PROGRAMA DESTINO]],Tabla49[ESPACIO ACADÉMICO DESTINO]&amp;Tabla49[PROGRAMA],Tabla49[CÓDIGO],"")</f>
        <v>48132</v>
      </c>
      <c r="H62" s="10" t="s">
        <v>52</v>
      </c>
      <c r="I62" s="14" cm="1">
        <f t="array" ref="I62">+_xlfn.XLOOKUP(Tabla9[[#This Row],[ESPACIO ACADÉMICO DESTINO]]&amp;Tabla9[[#This Row],[PROGRAMA DESTINO]],Tabla49[ESPACIO ACADÉMICO DESTINO]&amp;Tabla49[PROGRAMA],Tabla49[CRÉDITOS],"")</f>
        <v>3</v>
      </c>
      <c r="J62" s="14">
        <v>4.5</v>
      </c>
      <c r="K62" s="10" t="s">
        <v>53</v>
      </c>
      <c r="L62" s="1"/>
      <c r="M62" s="1"/>
      <c r="N62" s="16" t="s">
        <v>189</v>
      </c>
      <c r="P62" s="4" t="s">
        <v>154</v>
      </c>
      <c r="Q62" s="19" t="s">
        <v>55</v>
      </c>
      <c r="X62" s="52" t="s">
        <v>73</v>
      </c>
      <c r="Y62" s="8">
        <v>96112</v>
      </c>
      <c r="Z62" s="8" t="s">
        <v>235</v>
      </c>
      <c r="AA62" s="8">
        <v>3</v>
      </c>
    </row>
    <row r="63" spans="3:27" ht="45" x14ac:dyDescent="0.25">
      <c r="C63" s="1" t="str">
        <f>_xlfn.XLOOKUP(Tabla9[[#This Row],[PROGRAMA ORIGEN]],PROGRAMAS_N[PROGRAMAS ORIGEN],PROGRAMAS_N[NIVEL],"")</f>
        <v>TECNÓLOGO</v>
      </c>
      <c r="D63" s="16" t="s">
        <v>78</v>
      </c>
      <c r="E63" s="14">
        <v>280201030</v>
      </c>
      <c r="F63" s="10" t="s">
        <v>236</v>
      </c>
      <c r="G63" s="10" cm="1">
        <f t="array" ref="G63">+_xlfn.XLOOKUP(Tabla9[[#This Row],[ESPACIO ACADÉMICO DESTINO]]&amp;Tabla9[[#This Row],[PROGRAMA DESTINO]],Tabla49[ESPACIO ACADÉMICO DESTINO]&amp;Tabla49[PROGRAMA],Tabla49[CÓDIGO],"")</f>
        <v>48157</v>
      </c>
      <c r="H63" s="10" t="s">
        <v>83</v>
      </c>
      <c r="I63" s="14" cm="1">
        <f t="array" ref="I63">+_xlfn.XLOOKUP(Tabla9[[#This Row],[ESPACIO ACADÉMICO DESTINO]]&amp;Tabla9[[#This Row],[PROGRAMA DESTINO]],Tabla49[ESPACIO ACADÉMICO DESTINO]&amp;Tabla49[PROGRAMA],Tabla49[CRÉDITOS],"")</f>
        <v>2</v>
      </c>
      <c r="J63" s="14">
        <v>4.5</v>
      </c>
      <c r="K63" s="10" t="s">
        <v>53</v>
      </c>
      <c r="L63" s="1"/>
      <c r="M63" s="1"/>
      <c r="N63" s="16" t="s">
        <v>180</v>
      </c>
      <c r="P63" s="4" t="s">
        <v>158</v>
      </c>
      <c r="Q63" s="19" t="s">
        <v>55</v>
      </c>
      <c r="X63" s="52" t="s">
        <v>73</v>
      </c>
      <c r="Y63" s="8">
        <v>16570</v>
      </c>
      <c r="Z63" s="7" t="s">
        <v>66</v>
      </c>
      <c r="AA63" s="8">
        <v>2</v>
      </c>
    </row>
    <row r="64" spans="3:27" ht="45" x14ac:dyDescent="0.25">
      <c r="C64" s="1" t="str">
        <f>_xlfn.XLOOKUP(Tabla9[[#This Row],[PROGRAMA ORIGEN]],PROGRAMAS_N[PROGRAMAS ORIGEN],PROGRAMAS_N[NIVEL],"")</f>
        <v>TECNÓLOGO</v>
      </c>
      <c r="D64" s="16" t="s">
        <v>78</v>
      </c>
      <c r="E64" s="14">
        <v>280201030</v>
      </c>
      <c r="F64" s="10" t="s">
        <v>236</v>
      </c>
      <c r="G64" s="10" cm="1">
        <f t="array" ref="G64">+_xlfn.XLOOKUP(Tabla9[[#This Row],[ESPACIO ACADÉMICO DESTINO]]&amp;Tabla9[[#This Row],[PROGRAMA DESTINO]],Tabla49[ESPACIO ACADÉMICO DESTINO]&amp;Tabla49[PROGRAMA],Tabla49[CÓDIGO],"")</f>
        <v>73514</v>
      </c>
      <c r="H64" s="10" t="s">
        <v>90</v>
      </c>
      <c r="I64" s="14" cm="1">
        <f t="array" ref="I64">+_xlfn.XLOOKUP(Tabla9[[#This Row],[ESPACIO ACADÉMICO DESTINO]]&amp;Tabla9[[#This Row],[PROGRAMA DESTINO]],Tabla49[ESPACIO ACADÉMICO DESTINO]&amp;Tabla49[PROGRAMA],Tabla49[CRÉDITOS],"")</f>
        <v>3</v>
      </c>
      <c r="J64" s="14">
        <v>4.5</v>
      </c>
      <c r="K64" s="10" t="s">
        <v>53</v>
      </c>
      <c r="L64" s="1"/>
      <c r="M64" s="1"/>
      <c r="N64" s="16" t="s">
        <v>183</v>
      </c>
      <c r="P64" s="4" t="s">
        <v>188</v>
      </c>
      <c r="Q64" s="19" t="s">
        <v>55</v>
      </c>
      <c r="X64" s="52" t="s">
        <v>73</v>
      </c>
      <c r="Y64" s="8">
        <v>15135</v>
      </c>
      <c r="Z64" s="7" t="s">
        <v>56</v>
      </c>
      <c r="AA64" s="8">
        <v>2</v>
      </c>
    </row>
    <row r="65" spans="3:27" ht="45" x14ac:dyDescent="0.25">
      <c r="C65" s="1" t="str">
        <f>_xlfn.XLOOKUP(Tabla9[[#This Row],[PROGRAMA ORIGEN]],PROGRAMAS_N[PROGRAMAS ORIGEN],PROGRAMAS_N[NIVEL],"")</f>
        <v>TECNÓLOGO</v>
      </c>
      <c r="D65" s="16" t="s">
        <v>78</v>
      </c>
      <c r="E65" s="14">
        <v>280201030</v>
      </c>
      <c r="F65" s="10" t="s">
        <v>236</v>
      </c>
      <c r="G65" s="10" cm="1">
        <f t="array" ref="G65">+_xlfn.XLOOKUP(Tabla9[[#This Row],[ESPACIO ACADÉMICO DESTINO]]&amp;Tabla9[[#This Row],[PROGRAMA DESTINO]],Tabla49[ESPACIO ACADÉMICO DESTINO]&amp;Tabla49[PROGRAMA],Tabla49[CÓDIGO],"")</f>
        <v>48133</v>
      </c>
      <c r="H65" s="10" t="s">
        <v>86</v>
      </c>
      <c r="I65" s="14" cm="1">
        <f t="array" ref="I65">+_xlfn.XLOOKUP(Tabla9[[#This Row],[ESPACIO ACADÉMICO DESTINO]]&amp;Tabla9[[#This Row],[PROGRAMA DESTINO]],Tabla49[ESPACIO ACADÉMICO DESTINO]&amp;Tabla49[PROGRAMA],Tabla49[CRÉDITOS],"")</f>
        <v>3</v>
      </c>
      <c r="J65" s="14">
        <v>4.5</v>
      </c>
      <c r="K65" s="10" t="s">
        <v>53</v>
      </c>
      <c r="L65" s="1"/>
      <c r="M65" s="1"/>
      <c r="N65" s="16" t="s">
        <v>223</v>
      </c>
      <c r="P65" s="4" t="s">
        <v>185</v>
      </c>
      <c r="Q65" s="19" t="s">
        <v>55</v>
      </c>
      <c r="X65" s="52" t="s">
        <v>73</v>
      </c>
      <c r="Y65" s="8">
        <v>48243</v>
      </c>
      <c r="Z65" s="8" t="s">
        <v>237</v>
      </c>
      <c r="AA65" s="8">
        <v>3</v>
      </c>
    </row>
    <row r="66" spans="3:27" ht="45" x14ac:dyDescent="0.25">
      <c r="C66" s="1" t="str">
        <f>_xlfn.XLOOKUP(Tabla9[[#This Row],[PROGRAMA ORIGEN]],PROGRAMAS_N[PROGRAMAS ORIGEN],PROGRAMAS_N[NIVEL],"")</f>
        <v>TECNÓLOGO</v>
      </c>
      <c r="D66" s="16" t="s">
        <v>78</v>
      </c>
      <c r="E66" s="14">
        <v>280201010</v>
      </c>
      <c r="F66" s="10" t="s">
        <v>238</v>
      </c>
      <c r="G66" s="10" cm="1">
        <f t="array" ref="G66">+_xlfn.XLOOKUP(Tabla9[[#This Row],[ESPACIO ACADÉMICO DESTINO]]&amp;Tabla9[[#This Row],[PROGRAMA DESTINO]],Tabla49[ESPACIO ACADÉMICO DESTINO]&amp;Tabla49[PROGRAMA],Tabla49[CÓDIGO],"")</f>
        <v>16987</v>
      </c>
      <c r="H66" s="10" t="s">
        <v>62</v>
      </c>
      <c r="I66" s="14" cm="1">
        <f t="array" ref="I66">+_xlfn.XLOOKUP(Tabla9[[#This Row],[ESPACIO ACADÉMICO DESTINO]]&amp;Tabla9[[#This Row],[PROGRAMA DESTINO]],Tabla49[ESPACIO ACADÉMICO DESTINO]&amp;Tabla49[PROGRAMA],Tabla49[CRÉDITOS],"")</f>
        <v>2</v>
      </c>
      <c r="J66" s="14">
        <v>4.5</v>
      </c>
      <c r="K66" s="10" t="s">
        <v>53</v>
      </c>
      <c r="L66" s="1"/>
      <c r="M66" s="1"/>
      <c r="N66" s="16" t="s">
        <v>142</v>
      </c>
      <c r="P66" s="4" t="s">
        <v>193</v>
      </c>
      <c r="Q66" s="19" t="s">
        <v>55</v>
      </c>
      <c r="X66" s="52" t="s">
        <v>73</v>
      </c>
      <c r="Y66" s="8">
        <v>73251</v>
      </c>
      <c r="Z66" s="7" t="s">
        <v>239</v>
      </c>
      <c r="AA66" s="8">
        <v>3</v>
      </c>
    </row>
    <row r="67" spans="3:27" ht="45" x14ac:dyDescent="0.25">
      <c r="C67" s="1" t="str">
        <f>_xlfn.XLOOKUP(Tabla9[[#This Row],[PROGRAMA ORIGEN]],PROGRAMAS_N[PROGRAMAS ORIGEN],PROGRAMAS_N[NIVEL],"")</f>
        <v>TECNÓLOGO</v>
      </c>
      <c r="D67" s="16" t="s">
        <v>78</v>
      </c>
      <c r="E67" s="14">
        <v>280201010</v>
      </c>
      <c r="F67" s="10" t="s">
        <v>238</v>
      </c>
      <c r="G67" s="10" cm="1">
        <f t="array" ref="G67">+_xlfn.XLOOKUP(Tabla9[[#This Row],[ESPACIO ACADÉMICO DESTINO]]&amp;Tabla9[[#This Row],[PROGRAMA DESTINO]],Tabla49[ESPACIO ACADÉMICO DESTINO]&amp;Tabla49[PROGRAMA],Tabla49[CÓDIGO],"")</f>
        <v>48149</v>
      </c>
      <c r="H67" s="10" t="s">
        <v>77</v>
      </c>
      <c r="I67" s="14" cm="1">
        <f t="array" ref="I67">+_xlfn.XLOOKUP(Tabla9[[#This Row],[ESPACIO ACADÉMICO DESTINO]]&amp;Tabla9[[#This Row],[PROGRAMA DESTINO]],Tabla49[ESPACIO ACADÉMICO DESTINO]&amp;Tabla49[PROGRAMA],Tabla49[CRÉDITOS],"")</f>
        <v>2</v>
      </c>
      <c r="J67" s="14">
        <v>4.5</v>
      </c>
      <c r="K67" s="10" t="s">
        <v>53</v>
      </c>
      <c r="L67" s="1"/>
      <c r="M67" s="1"/>
      <c r="N67" s="16" t="s">
        <v>149</v>
      </c>
      <c r="P67" s="16" t="s">
        <v>169</v>
      </c>
      <c r="Q67" s="19" t="s">
        <v>55</v>
      </c>
      <c r="X67" s="52" t="s">
        <v>73</v>
      </c>
      <c r="Y67" s="8">
        <v>96110</v>
      </c>
      <c r="Z67" s="8" t="s">
        <v>240</v>
      </c>
      <c r="AA67" s="8">
        <v>3</v>
      </c>
    </row>
    <row r="68" spans="3:27" ht="45" x14ac:dyDescent="0.25">
      <c r="C68" s="1" t="str">
        <f>_xlfn.XLOOKUP(Tabla9[[#This Row],[PROGRAMA ORIGEN]],PROGRAMAS_N[PROGRAMAS ORIGEN],PROGRAMAS_N[NIVEL],"")</f>
        <v>TECNÓLOGO</v>
      </c>
      <c r="D68" s="16" t="s">
        <v>78</v>
      </c>
      <c r="E68" s="14">
        <v>280201010</v>
      </c>
      <c r="F68" s="10" t="s">
        <v>238</v>
      </c>
      <c r="G68" s="10" cm="1">
        <f t="array" ref="G68">+_xlfn.XLOOKUP(Tabla9[[#This Row],[ESPACIO ACADÉMICO DESTINO]]&amp;Tabla9[[#This Row],[PROGRAMA DESTINO]],Tabla49[ESPACIO ACADÉMICO DESTINO]&amp;Tabla49[PROGRAMA],Tabla49[CÓDIGO],"")</f>
        <v>48161</v>
      </c>
      <c r="H68" s="10" t="s">
        <v>104</v>
      </c>
      <c r="I68" s="14" cm="1">
        <f t="array" ref="I68">+_xlfn.XLOOKUP(Tabla9[[#This Row],[ESPACIO ACADÉMICO DESTINO]]&amp;Tabla9[[#This Row],[PROGRAMA DESTINO]],Tabla49[ESPACIO ACADÉMICO DESTINO]&amp;Tabla49[PROGRAMA],Tabla49[CRÉDITOS],"")</f>
        <v>3</v>
      </c>
      <c r="J68" s="14">
        <v>4.5</v>
      </c>
      <c r="K68" s="10" t="s">
        <v>53</v>
      </c>
      <c r="L68" s="1"/>
      <c r="M68" s="1"/>
      <c r="N68" s="16" t="s">
        <v>241</v>
      </c>
      <c r="P68" s="4" t="s">
        <v>241</v>
      </c>
      <c r="Q68" s="19" t="s">
        <v>57</v>
      </c>
      <c r="X68" s="52" t="s">
        <v>73</v>
      </c>
      <c r="Y68" s="8">
        <v>96201</v>
      </c>
      <c r="Z68" s="7" t="s">
        <v>242</v>
      </c>
      <c r="AA68" s="8">
        <v>3</v>
      </c>
    </row>
    <row r="69" spans="3:27" ht="45" x14ac:dyDescent="0.25">
      <c r="C69" s="1" t="str">
        <f>_xlfn.XLOOKUP(Tabla9[[#This Row],[PROGRAMA ORIGEN]],PROGRAMAS_N[PROGRAMAS ORIGEN],PROGRAMAS_N[NIVEL],"")</f>
        <v>TECNÓLOGO</v>
      </c>
      <c r="D69" s="16" t="s">
        <v>78</v>
      </c>
      <c r="E69" s="14">
        <v>280201122</v>
      </c>
      <c r="F69" s="10" t="s">
        <v>243</v>
      </c>
      <c r="G69" s="10" cm="1">
        <f t="array" ref="G69">+_xlfn.XLOOKUP(Tabla9[[#This Row],[ESPACIO ACADÉMICO DESTINO]]&amp;Tabla9[[#This Row],[PROGRAMA DESTINO]],Tabla49[ESPACIO ACADÉMICO DESTINO]&amp;Tabla49[PROGRAMA],Tabla49[CÓDIGO],"")</f>
        <v>48145</v>
      </c>
      <c r="H69" s="10" t="s">
        <v>124</v>
      </c>
      <c r="I69" s="14" cm="1">
        <f t="array" ref="I69">+_xlfn.XLOOKUP(Tabla9[[#This Row],[ESPACIO ACADÉMICO DESTINO]]&amp;Tabla9[[#This Row],[PROGRAMA DESTINO]],Tabla49[ESPACIO ACADÉMICO DESTINO]&amp;Tabla49[PROGRAMA],Tabla49[CRÉDITOS],"")</f>
        <v>2</v>
      </c>
      <c r="J69" s="14">
        <v>4.5</v>
      </c>
      <c r="K69" s="10" t="s">
        <v>53</v>
      </c>
      <c r="L69" s="1"/>
      <c r="M69" s="1"/>
      <c r="N69" s="16" t="s">
        <v>120</v>
      </c>
      <c r="P69" s="4" t="s">
        <v>134</v>
      </c>
      <c r="Q69" s="19" t="s">
        <v>57</v>
      </c>
      <c r="X69" s="52" t="s">
        <v>73</v>
      </c>
      <c r="Y69" s="8">
        <v>16571</v>
      </c>
      <c r="Z69" s="8" t="s">
        <v>108</v>
      </c>
      <c r="AA69" s="8">
        <v>2</v>
      </c>
    </row>
    <row r="70" spans="3:27" ht="45" x14ac:dyDescent="0.25">
      <c r="C70" s="1" t="str">
        <f>_xlfn.XLOOKUP(Tabla9[[#This Row],[PROGRAMA ORIGEN]],PROGRAMAS_N[PROGRAMAS ORIGEN],PROGRAMAS_N[NIVEL],"")</f>
        <v>TECNÓLOGO</v>
      </c>
      <c r="D70" s="16" t="s">
        <v>78</v>
      </c>
      <c r="E70" s="14">
        <v>280201122</v>
      </c>
      <c r="F70" s="10" t="s">
        <v>243</v>
      </c>
      <c r="G70" s="10" cm="1">
        <f t="array" ref="G70">+_xlfn.XLOOKUP(Tabla9[[#This Row],[ESPACIO ACADÉMICO DESTINO]]&amp;Tabla9[[#This Row],[PROGRAMA DESTINO]],Tabla49[ESPACIO ACADÉMICO DESTINO]&amp;Tabla49[PROGRAMA],Tabla49[CÓDIGO],"")</f>
        <v>48167</v>
      </c>
      <c r="H70" s="10" t="s">
        <v>97</v>
      </c>
      <c r="I70" s="14" cm="1">
        <f t="array" ref="I70">+_xlfn.XLOOKUP(Tabla9[[#This Row],[ESPACIO ACADÉMICO DESTINO]]&amp;Tabla9[[#This Row],[PROGRAMA DESTINO]],Tabla49[ESPACIO ACADÉMICO DESTINO]&amp;Tabla49[PROGRAMA],Tabla49[CRÉDITOS],"")</f>
        <v>3</v>
      </c>
      <c r="J70" s="14">
        <v>4.5</v>
      </c>
      <c r="K70" s="10" t="s">
        <v>53</v>
      </c>
      <c r="L70" s="1"/>
      <c r="M70" s="1"/>
      <c r="N70" s="16" t="s">
        <v>186</v>
      </c>
      <c r="P70" s="4" t="s">
        <v>98</v>
      </c>
      <c r="Q70" s="19" t="s">
        <v>57</v>
      </c>
      <c r="X70" s="52" t="s">
        <v>73</v>
      </c>
      <c r="Y70" s="8">
        <v>95108</v>
      </c>
      <c r="Z70" s="7" t="s">
        <v>101</v>
      </c>
      <c r="AA70" s="8">
        <v>2</v>
      </c>
    </row>
    <row r="71" spans="3:27" ht="45" x14ac:dyDescent="0.25">
      <c r="C71" s="1" t="str">
        <f>_xlfn.XLOOKUP(Tabla9[[#This Row],[PROGRAMA ORIGEN]],PROGRAMAS_N[PROGRAMAS ORIGEN],PROGRAMAS_N[NIVEL],"")</f>
        <v>TECNÓLOGO</v>
      </c>
      <c r="D71" s="16" t="s">
        <v>78</v>
      </c>
      <c r="E71" s="14">
        <v>280201019</v>
      </c>
      <c r="F71" s="10" t="s">
        <v>244</v>
      </c>
      <c r="G71" s="10" cm="1">
        <f t="array" ref="G71">+_xlfn.XLOOKUP(Tabla9[[#This Row],[ESPACIO ACADÉMICO DESTINO]]&amp;Tabla9[[#This Row],[PROGRAMA DESTINO]],Tabla49[ESPACIO ACADÉMICO DESTINO]&amp;Tabla49[PROGRAMA],Tabla49[CÓDIGO],"")</f>
        <v>48170</v>
      </c>
      <c r="H71" s="10" t="s">
        <v>182</v>
      </c>
      <c r="I71" s="14" cm="1">
        <f t="array" ref="I71">+_xlfn.XLOOKUP(Tabla9[[#This Row],[ESPACIO ACADÉMICO DESTINO]]&amp;Tabla9[[#This Row],[PROGRAMA DESTINO]],Tabla49[ESPACIO ACADÉMICO DESTINO]&amp;Tabla49[PROGRAMA],Tabla49[CRÉDITOS],"")</f>
        <v>3</v>
      </c>
      <c r="J71" s="14">
        <v>4.5</v>
      </c>
      <c r="K71" s="10" t="s">
        <v>53</v>
      </c>
      <c r="L71" s="1"/>
      <c r="M71" s="1"/>
      <c r="N71" s="16" t="s">
        <v>72</v>
      </c>
      <c r="P71" s="4" t="s">
        <v>91</v>
      </c>
      <c r="Q71" s="19" t="s">
        <v>57</v>
      </c>
      <c r="X71" s="52" t="s">
        <v>73</v>
      </c>
      <c r="Y71" s="8">
        <v>48245</v>
      </c>
      <c r="Z71" s="8" t="s">
        <v>245</v>
      </c>
      <c r="AA71" s="8">
        <v>3</v>
      </c>
    </row>
    <row r="72" spans="3:27" ht="45" x14ac:dyDescent="0.25">
      <c r="C72" s="1" t="str">
        <f>_xlfn.XLOOKUP(Tabla9[[#This Row],[PROGRAMA ORIGEN]],PROGRAMAS_N[PROGRAMAS ORIGEN],PROGRAMAS_N[NIVEL],"")</f>
        <v>TECNÓLOGO</v>
      </c>
      <c r="D72" s="16" t="s">
        <v>78</v>
      </c>
      <c r="E72" s="14">
        <v>280201087</v>
      </c>
      <c r="F72" s="10" t="s">
        <v>246</v>
      </c>
      <c r="G72" s="10" cm="1">
        <f t="array" ref="G72">+_xlfn.XLOOKUP(Tabla9[[#This Row],[ESPACIO ACADÉMICO DESTINO]]&amp;Tabla9[[#This Row],[PROGRAMA DESTINO]],Tabla49[ESPACIO ACADÉMICO DESTINO]&amp;Tabla49[PROGRAMA],Tabla49[CÓDIGO],"")</f>
        <v>16960</v>
      </c>
      <c r="H72" s="10" t="s">
        <v>147</v>
      </c>
      <c r="I72" s="14" cm="1">
        <f t="array" ref="I72">+_xlfn.XLOOKUP(Tabla9[[#This Row],[ESPACIO ACADÉMICO DESTINO]]&amp;Tabla9[[#This Row],[PROGRAMA DESTINO]],Tabla49[ESPACIO ACADÉMICO DESTINO]&amp;Tabla49[PROGRAMA],Tabla49[CRÉDITOS],"")</f>
        <v>2</v>
      </c>
      <c r="J72" s="14">
        <v>4.5</v>
      </c>
      <c r="K72" s="10" t="s">
        <v>53</v>
      </c>
      <c r="L72" s="1"/>
      <c r="M72" s="1"/>
      <c r="N72" s="16" t="s">
        <v>159</v>
      </c>
      <c r="P72" s="4" t="s">
        <v>114</v>
      </c>
      <c r="Q72" s="19" t="s">
        <v>57</v>
      </c>
      <c r="X72" s="52" t="s">
        <v>73</v>
      </c>
      <c r="Y72" s="8">
        <v>96111</v>
      </c>
      <c r="Z72" s="7" t="s">
        <v>247</v>
      </c>
      <c r="AA72" s="8">
        <v>3</v>
      </c>
    </row>
    <row r="73" spans="3:27" ht="45" x14ac:dyDescent="0.25">
      <c r="C73" s="1" t="str">
        <f>_xlfn.XLOOKUP(Tabla9[[#This Row],[PROGRAMA ORIGEN]],PROGRAMAS_N[PROGRAMAS ORIGEN],PROGRAMAS_N[NIVEL],"")</f>
        <v>TECNÓLOGO</v>
      </c>
      <c r="D73" s="16" t="s">
        <v>78</v>
      </c>
      <c r="E73" s="14">
        <v>280201048</v>
      </c>
      <c r="F73" s="10" t="s">
        <v>248</v>
      </c>
      <c r="G73" s="10" cm="1">
        <f t="array" ref="G73">+_xlfn.XLOOKUP(Tabla9[[#This Row],[ESPACIO ACADÉMICO DESTINO]]&amp;Tabla9[[#This Row],[PROGRAMA DESTINO]],Tabla49[ESPACIO ACADÉMICO DESTINO]&amp;Tabla49[PROGRAMA],Tabla49[CÓDIGO],"")</f>
        <v>48163</v>
      </c>
      <c r="H73" s="10" t="s">
        <v>179</v>
      </c>
      <c r="I73" s="14" cm="1">
        <f t="array" ref="I73">+_xlfn.XLOOKUP(Tabla9[[#This Row],[ESPACIO ACADÉMICO DESTINO]]&amp;Tabla9[[#This Row],[PROGRAMA DESTINO]],Tabla49[ESPACIO ACADÉMICO DESTINO]&amp;Tabla49[PROGRAMA],Tabla49[CRÉDITOS],"")</f>
        <v>3</v>
      </c>
      <c r="J73" s="14">
        <v>4.5</v>
      </c>
      <c r="K73" s="10" t="s">
        <v>53</v>
      </c>
      <c r="L73" s="1"/>
      <c r="M73" s="1"/>
      <c r="N73" s="16"/>
      <c r="P73" s="2"/>
      <c r="Q73" s="45"/>
      <c r="X73" s="52" t="s">
        <v>73</v>
      </c>
      <c r="Y73" s="10">
        <v>96113</v>
      </c>
      <c r="Z73" s="10" t="s">
        <v>249</v>
      </c>
      <c r="AA73" s="8">
        <v>3</v>
      </c>
    </row>
    <row r="74" spans="3:27" ht="45" x14ac:dyDescent="0.25">
      <c r="C74" s="1" t="str">
        <f>_xlfn.XLOOKUP(Tabla9[[#This Row],[PROGRAMA ORIGEN]],PROGRAMAS_N[PROGRAMAS ORIGEN],PROGRAMAS_N[NIVEL],"")</f>
        <v>TÉCNICO</v>
      </c>
      <c r="D74" s="16" t="s">
        <v>92</v>
      </c>
      <c r="E74" s="14">
        <v>240201500</v>
      </c>
      <c r="F74" s="10" t="s">
        <v>144</v>
      </c>
      <c r="G74" s="10" cm="1">
        <f t="array" ref="G74">+_xlfn.XLOOKUP(Tabla9[[#This Row],[ESPACIO ACADÉMICO DESTINO]]&amp;Tabla9[[#This Row],[PROGRAMA DESTINO]],Tabla49[ESPACIO ACADÉMICO DESTINO]&amp;Tabla49[PROGRAMA],Tabla49[CÓDIGO],"")</f>
        <v>15135</v>
      </c>
      <c r="H74" s="10" t="s">
        <v>56</v>
      </c>
      <c r="I74" s="14" cm="1">
        <f t="array" ref="I74">+_xlfn.XLOOKUP(Tabla9[[#This Row],[ESPACIO ACADÉMICO DESTINO]]&amp;Tabla9[[#This Row],[PROGRAMA DESTINO]],Tabla49[ESPACIO ACADÉMICO DESTINO]&amp;Tabla49[PROGRAMA],Tabla49[CRÉDITOS],"")</f>
        <v>2</v>
      </c>
      <c r="J74" s="14">
        <v>4.5</v>
      </c>
      <c r="K74" s="10" t="s">
        <v>53</v>
      </c>
      <c r="L74" s="1"/>
      <c r="M74" s="1"/>
      <c r="N74" s="1"/>
      <c r="X74" s="52" t="s">
        <v>73</v>
      </c>
      <c r="Y74" s="10">
        <v>48244</v>
      </c>
      <c r="Z74" s="10" t="s">
        <v>250</v>
      </c>
      <c r="AA74" s="8">
        <v>3</v>
      </c>
    </row>
    <row r="75" spans="3:27" ht="60" x14ac:dyDescent="0.25">
      <c r="C75" s="1" t="str">
        <f>_xlfn.XLOOKUP(Tabla9[[#This Row],[PROGRAMA ORIGEN]],PROGRAMAS_N[PROGRAMAS ORIGEN],PROGRAMAS_N[NIVEL],"")</f>
        <v>TÉCNICO</v>
      </c>
      <c r="D75" s="16" t="s">
        <v>92</v>
      </c>
      <c r="E75" s="14">
        <v>220201007</v>
      </c>
      <c r="F75" s="10" t="s">
        <v>251</v>
      </c>
      <c r="G75" s="10" cm="1">
        <f t="array" ref="G75">+_xlfn.XLOOKUP(Tabla9[[#This Row],[ESPACIO ACADÉMICO DESTINO]]&amp;Tabla9[[#This Row],[PROGRAMA DESTINO]],Tabla49[ESPACIO ACADÉMICO DESTINO]&amp;Tabla49[PROGRAMA],Tabla49[CÓDIGO],"")</f>
        <v>48156</v>
      </c>
      <c r="H75" s="10" t="s">
        <v>126</v>
      </c>
      <c r="I75" s="14" cm="1">
        <f t="array" ref="I75">+_xlfn.XLOOKUP(Tabla9[[#This Row],[ESPACIO ACADÉMICO DESTINO]]&amp;Tabla9[[#This Row],[PROGRAMA DESTINO]],Tabla49[ESPACIO ACADÉMICO DESTINO]&amp;Tabla49[PROGRAMA],Tabla49[CRÉDITOS],"")</f>
        <v>2</v>
      </c>
      <c r="J75" s="14">
        <v>4.5</v>
      </c>
      <c r="K75" s="10" t="s">
        <v>53</v>
      </c>
      <c r="L75" s="1"/>
      <c r="M75" s="1"/>
      <c r="N75" s="1"/>
      <c r="X75" s="52" t="s">
        <v>73</v>
      </c>
      <c r="Y75" s="10">
        <v>16572</v>
      </c>
      <c r="Z75" s="10" t="s">
        <v>139</v>
      </c>
      <c r="AA75" s="8">
        <v>2</v>
      </c>
    </row>
    <row r="76" spans="3:27" ht="60" x14ac:dyDescent="0.25">
      <c r="C76" s="1" t="str">
        <f>_xlfn.XLOOKUP(Tabla9[[#This Row],[PROGRAMA ORIGEN]],PROGRAMAS_N[PROGRAMAS ORIGEN],PROGRAMAS_N[NIVEL],"")</f>
        <v>TÉCNICO</v>
      </c>
      <c r="D76" s="16" t="s">
        <v>92</v>
      </c>
      <c r="E76" s="14">
        <v>220201007</v>
      </c>
      <c r="F76" s="10" t="s">
        <v>251</v>
      </c>
      <c r="G76" s="10" cm="1">
        <f t="array" ref="G76">+_xlfn.XLOOKUP(Tabla9[[#This Row],[ESPACIO ACADÉMICO DESTINO]]&amp;Tabla9[[#This Row],[PROGRAMA DESTINO]],Tabla49[ESPACIO ACADÉMICO DESTINO]&amp;Tabla49[PROGRAMA],Tabla49[CÓDIGO],"")</f>
        <v>48132</v>
      </c>
      <c r="H76" s="10" t="s">
        <v>52</v>
      </c>
      <c r="I76" s="14" cm="1">
        <f t="array" ref="I76">+_xlfn.XLOOKUP(Tabla9[[#This Row],[ESPACIO ACADÉMICO DESTINO]]&amp;Tabla9[[#This Row],[PROGRAMA DESTINO]],Tabla49[ESPACIO ACADÉMICO DESTINO]&amp;Tabla49[PROGRAMA],Tabla49[CRÉDITOS],"")</f>
        <v>3</v>
      </c>
      <c r="J76" s="14">
        <v>4.5</v>
      </c>
      <c r="K76" s="10" t="s">
        <v>53</v>
      </c>
      <c r="L76" s="1"/>
      <c r="M76" s="1"/>
      <c r="N76" s="1"/>
      <c r="X76" s="52" t="s">
        <v>73</v>
      </c>
      <c r="Y76" s="8">
        <v>95109</v>
      </c>
      <c r="Z76" s="8" t="s">
        <v>136</v>
      </c>
      <c r="AA76" s="8">
        <v>2</v>
      </c>
    </row>
    <row r="77" spans="3:27" ht="60" x14ac:dyDescent="0.25">
      <c r="C77" s="1" t="str">
        <f>_xlfn.XLOOKUP(Tabla9[[#This Row],[PROGRAMA ORIGEN]],PROGRAMAS_N[PROGRAMAS ORIGEN],PROGRAMAS_N[NIVEL],"")</f>
        <v>TÉCNICO</v>
      </c>
      <c r="D77" s="16" t="s">
        <v>92</v>
      </c>
      <c r="E77" s="14">
        <v>280201173</v>
      </c>
      <c r="F77" s="10" t="s">
        <v>252</v>
      </c>
      <c r="G77" s="10" cm="1">
        <f t="array" ref="G77">+_xlfn.XLOOKUP(Tabla9[[#This Row],[ESPACIO ACADÉMICO DESTINO]]&amp;Tabla9[[#This Row],[PROGRAMA DESTINO]],Tabla49[ESPACIO ACADÉMICO DESTINO]&amp;Tabla49[PROGRAMA],Tabla49[CÓDIGO],"")</f>
        <v>73514</v>
      </c>
      <c r="H77" s="10" t="s">
        <v>90</v>
      </c>
      <c r="I77" s="14" cm="1">
        <f t="array" ref="I77">+_xlfn.XLOOKUP(Tabla9[[#This Row],[ESPACIO ACADÉMICO DESTINO]]&amp;Tabla9[[#This Row],[PROGRAMA DESTINO]],Tabla49[ESPACIO ACADÉMICO DESTINO]&amp;Tabla49[PROGRAMA],Tabla49[CRÉDITOS],"")</f>
        <v>3</v>
      </c>
      <c r="J77" s="14">
        <v>4.5</v>
      </c>
      <c r="K77" s="10" t="s">
        <v>53</v>
      </c>
      <c r="L77" s="1"/>
      <c r="M77" s="1"/>
      <c r="N77" s="1"/>
      <c r="X77" s="52" t="s">
        <v>73</v>
      </c>
      <c r="Y77" s="8">
        <v>48272</v>
      </c>
      <c r="Z77" s="8" t="s">
        <v>253</v>
      </c>
      <c r="AA77" s="8">
        <v>2</v>
      </c>
    </row>
    <row r="78" spans="3:27" ht="60" x14ac:dyDescent="0.25">
      <c r="C78" s="1" t="str">
        <f>_xlfn.XLOOKUP(Tabla9[[#This Row],[PROGRAMA ORIGEN]],PROGRAMAS_N[PROGRAMAS ORIGEN],PROGRAMAS_N[NIVEL],"")</f>
        <v>TÉCNICO</v>
      </c>
      <c r="D78" s="16" t="s">
        <v>92</v>
      </c>
      <c r="E78" s="14">
        <v>280201173</v>
      </c>
      <c r="F78" s="10" t="s">
        <v>252</v>
      </c>
      <c r="G78" s="10" cm="1">
        <f t="array" ref="G78">+_xlfn.XLOOKUP(Tabla9[[#This Row],[ESPACIO ACADÉMICO DESTINO]]&amp;Tabla9[[#This Row],[PROGRAMA DESTINO]],Tabla49[ESPACIO ACADÉMICO DESTINO]&amp;Tabla49[PROGRAMA],Tabla49[CÓDIGO],"")</f>
        <v>48152</v>
      </c>
      <c r="H78" s="10" t="s">
        <v>133</v>
      </c>
      <c r="I78" s="14" cm="1">
        <f t="array" ref="I78">+_xlfn.XLOOKUP(Tabla9[[#This Row],[ESPACIO ACADÉMICO DESTINO]]&amp;Tabla9[[#This Row],[PROGRAMA DESTINO]],Tabla49[ESPACIO ACADÉMICO DESTINO]&amp;Tabla49[PROGRAMA],Tabla49[CRÉDITOS],"")</f>
        <v>3</v>
      </c>
      <c r="J78" s="14">
        <v>4.5</v>
      </c>
      <c r="K78" s="10" t="s">
        <v>53</v>
      </c>
      <c r="L78" s="1"/>
      <c r="M78" s="1"/>
      <c r="N78" s="1"/>
      <c r="X78" s="52" t="s">
        <v>73</v>
      </c>
      <c r="Y78" s="8">
        <v>73942</v>
      </c>
      <c r="Z78" s="8" t="s">
        <v>254</v>
      </c>
      <c r="AA78" s="8">
        <v>3</v>
      </c>
    </row>
    <row r="79" spans="3:27" ht="60" x14ac:dyDescent="0.25">
      <c r="C79" s="1" t="str">
        <f>_xlfn.XLOOKUP(Tabla9[[#This Row],[PROGRAMA ORIGEN]],PROGRAMAS_N[PROGRAMAS ORIGEN],PROGRAMAS_N[NIVEL],"")</f>
        <v>TÉCNICO</v>
      </c>
      <c r="D79" s="16" t="s">
        <v>92</v>
      </c>
      <c r="E79" s="14">
        <v>280201173</v>
      </c>
      <c r="F79" s="10" t="s">
        <v>252</v>
      </c>
      <c r="G79" s="10" cm="1">
        <f t="array" ref="G79">+_xlfn.XLOOKUP(Tabla9[[#This Row],[ESPACIO ACADÉMICO DESTINO]]&amp;Tabla9[[#This Row],[PROGRAMA DESTINO]],Tabla49[ESPACIO ACADÉMICO DESTINO]&amp;Tabla49[PROGRAMA],Tabla49[CÓDIGO],"")</f>
        <v>48148</v>
      </c>
      <c r="H79" s="10" t="s">
        <v>70</v>
      </c>
      <c r="I79" s="14" cm="1">
        <f t="array" ref="I79">+_xlfn.XLOOKUP(Tabla9[[#This Row],[ESPACIO ACADÉMICO DESTINO]]&amp;Tabla9[[#This Row],[PROGRAMA DESTINO]],Tabla49[ESPACIO ACADÉMICO DESTINO]&amp;Tabla49[PROGRAMA],Tabla49[CRÉDITOS],"")</f>
        <v>2</v>
      </c>
      <c r="J79" s="14">
        <v>4.5</v>
      </c>
      <c r="K79" s="10" t="s">
        <v>53</v>
      </c>
      <c r="L79" s="1"/>
      <c r="M79" s="1"/>
      <c r="N79" s="1"/>
      <c r="X79" s="52" t="s">
        <v>73</v>
      </c>
      <c r="Y79" s="8">
        <v>96303</v>
      </c>
      <c r="Z79" s="8" t="s">
        <v>255</v>
      </c>
      <c r="AA79" s="8">
        <v>3</v>
      </c>
    </row>
    <row r="80" spans="3:27" ht="60" x14ac:dyDescent="0.25">
      <c r="C80" s="1" t="str">
        <f>_xlfn.XLOOKUP(Tabla9[[#This Row],[PROGRAMA ORIGEN]],PROGRAMAS_N[PROGRAMAS ORIGEN],PROGRAMAS_N[NIVEL],"")</f>
        <v>TÉCNICO</v>
      </c>
      <c r="D80" s="16" t="s">
        <v>92</v>
      </c>
      <c r="E80" s="14">
        <v>280201173</v>
      </c>
      <c r="F80" s="10" t="s">
        <v>252</v>
      </c>
      <c r="G80" s="10" cm="1">
        <f t="array" ref="G80">+_xlfn.XLOOKUP(Tabla9[[#This Row],[ESPACIO ACADÉMICO DESTINO]]&amp;Tabla9[[#This Row],[PROGRAMA DESTINO]],Tabla49[ESPACIO ACADÉMICO DESTINO]&amp;Tabla49[PROGRAMA],Tabla49[CÓDIGO],"")</f>
        <v>48170</v>
      </c>
      <c r="H80" s="10" t="s">
        <v>113</v>
      </c>
      <c r="I80" s="14" cm="1">
        <f t="array" ref="I80">+_xlfn.XLOOKUP(Tabla9[[#This Row],[ESPACIO ACADÉMICO DESTINO]]&amp;Tabla9[[#This Row],[PROGRAMA DESTINO]],Tabla49[ESPACIO ACADÉMICO DESTINO]&amp;Tabla49[PROGRAMA],Tabla49[CRÉDITOS],"")</f>
        <v>3</v>
      </c>
      <c r="J80" s="14">
        <v>4.5</v>
      </c>
      <c r="K80" s="10" t="s">
        <v>53</v>
      </c>
      <c r="L80" s="1"/>
      <c r="M80" s="1"/>
      <c r="N80" s="1"/>
      <c r="X80" s="52" t="s">
        <v>73</v>
      </c>
      <c r="Y80" s="8">
        <v>96115</v>
      </c>
      <c r="Z80" s="8" t="s">
        <v>256</v>
      </c>
      <c r="AA80" s="8">
        <v>3</v>
      </c>
    </row>
    <row r="81" spans="3:27" ht="60" x14ac:dyDescent="0.25">
      <c r="C81" s="1" t="str">
        <f>_xlfn.XLOOKUP(Tabla9[[#This Row],[PROGRAMA ORIGEN]],PROGRAMAS_N[PROGRAMAS ORIGEN],PROGRAMAS_N[NIVEL],"")</f>
        <v>TÉCNICO</v>
      </c>
      <c r="D81" s="16" t="s">
        <v>92</v>
      </c>
      <c r="E81" s="14">
        <v>280201173</v>
      </c>
      <c r="F81" s="10" t="s">
        <v>252</v>
      </c>
      <c r="G81" s="10" cm="1">
        <f t="array" ref="G81">+_xlfn.XLOOKUP(Tabla9[[#This Row],[ESPACIO ACADÉMICO DESTINO]]&amp;Tabla9[[#This Row],[PROGRAMA DESTINO]],Tabla49[ESPACIO ACADÉMICO DESTINO]&amp;Tabla49[PROGRAMA],Tabla49[CÓDIGO],"")</f>
        <v>48171</v>
      </c>
      <c r="H81" s="10" t="s">
        <v>137</v>
      </c>
      <c r="I81" s="14" cm="1">
        <f t="array" ref="I81">+_xlfn.XLOOKUP(Tabla9[[#This Row],[ESPACIO ACADÉMICO DESTINO]]&amp;Tabla9[[#This Row],[PROGRAMA DESTINO]],Tabla49[ESPACIO ACADÉMICO DESTINO]&amp;Tabla49[PROGRAMA],Tabla49[CRÉDITOS],"")</f>
        <v>3</v>
      </c>
      <c r="J81" s="14">
        <v>4.5</v>
      </c>
      <c r="K81" s="10" t="s">
        <v>53</v>
      </c>
      <c r="L81" s="1"/>
      <c r="M81" s="1"/>
      <c r="N81" s="1"/>
      <c r="X81" s="52" t="s">
        <v>73</v>
      </c>
      <c r="Y81" s="8">
        <v>16573</v>
      </c>
      <c r="Z81" s="8" t="s">
        <v>163</v>
      </c>
      <c r="AA81" s="8">
        <v>2</v>
      </c>
    </row>
    <row r="82" spans="3:27" ht="45" x14ac:dyDescent="0.25">
      <c r="C82" s="1" t="str">
        <f>_xlfn.XLOOKUP(Tabla9[[#This Row],[PROGRAMA ORIGEN]],PROGRAMAS_N[PROGRAMAS ORIGEN],PROGRAMAS_N[NIVEL],"")</f>
        <v>TÉCNICO</v>
      </c>
      <c r="D82" s="16" t="s">
        <v>92</v>
      </c>
      <c r="E82" s="14">
        <v>280201171</v>
      </c>
      <c r="F82" s="10" t="s">
        <v>257</v>
      </c>
      <c r="G82" s="10" cm="1">
        <f t="array" ref="G82">+_xlfn.XLOOKUP(Tabla9[[#This Row],[ESPACIO ACADÉMICO DESTINO]]&amp;Tabla9[[#This Row],[PROGRAMA DESTINO]],Tabla49[ESPACIO ACADÉMICO DESTINO]&amp;Tabla49[PROGRAMA],Tabla49[CÓDIGO],"")</f>
        <v>48157</v>
      </c>
      <c r="H82" s="10" t="s">
        <v>83</v>
      </c>
      <c r="I82" s="14" cm="1">
        <f t="array" ref="I82">+_xlfn.XLOOKUP(Tabla9[[#This Row],[ESPACIO ACADÉMICO DESTINO]]&amp;Tabla9[[#This Row],[PROGRAMA DESTINO]],Tabla49[ESPACIO ACADÉMICO DESTINO]&amp;Tabla49[PROGRAMA],Tabla49[CRÉDITOS],"")</f>
        <v>2</v>
      </c>
      <c r="J82" s="14">
        <v>4.5</v>
      </c>
      <c r="K82" s="10" t="s">
        <v>53</v>
      </c>
      <c r="L82" s="1"/>
      <c r="M82" s="1"/>
      <c r="N82" s="1"/>
      <c r="X82" s="52" t="s">
        <v>73</v>
      </c>
      <c r="Y82" s="8">
        <v>48246</v>
      </c>
      <c r="Z82" s="8" t="s">
        <v>258</v>
      </c>
      <c r="AA82" s="8">
        <v>3</v>
      </c>
    </row>
    <row r="83" spans="3:27" ht="45" x14ac:dyDescent="0.25">
      <c r="C83" s="1" t="str">
        <f>_xlfn.XLOOKUP(Tabla9[[#This Row],[PROGRAMA ORIGEN]],PROGRAMAS_N[PROGRAMAS ORIGEN],PROGRAMAS_N[NIVEL],"")</f>
        <v>TÉCNICO</v>
      </c>
      <c r="D83" s="16" t="s">
        <v>92</v>
      </c>
      <c r="E83" s="14">
        <v>280201171</v>
      </c>
      <c r="F83" s="10" t="s">
        <v>257</v>
      </c>
      <c r="G83" s="10" cm="1">
        <f t="array" ref="G83">+_xlfn.XLOOKUP(Tabla9[[#This Row],[ESPACIO ACADÉMICO DESTINO]]&amp;Tabla9[[#This Row],[PROGRAMA DESTINO]],Tabla49[ESPACIO ACADÉMICO DESTINO]&amp;Tabla49[PROGRAMA],Tabla49[CÓDIGO],"")</f>
        <v>48158</v>
      </c>
      <c r="H83" s="10" t="s">
        <v>119</v>
      </c>
      <c r="I83" s="14" cm="1">
        <f t="array" ref="I83">+_xlfn.XLOOKUP(Tabla9[[#This Row],[ESPACIO ACADÉMICO DESTINO]]&amp;Tabla9[[#This Row],[PROGRAMA DESTINO]],Tabla49[ESPACIO ACADÉMICO DESTINO]&amp;Tabla49[PROGRAMA],Tabla49[CRÉDITOS],"")</f>
        <v>2</v>
      </c>
      <c r="J83" s="14">
        <v>4.5</v>
      </c>
      <c r="K83" s="10" t="s">
        <v>53</v>
      </c>
      <c r="L83" s="1"/>
      <c r="M83" s="1"/>
      <c r="N83" s="1"/>
      <c r="X83" s="52" t="s">
        <v>73</v>
      </c>
      <c r="Y83" s="8">
        <v>48247</v>
      </c>
      <c r="Z83" s="8" t="s">
        <v>259</v>
      </c>
      <c r="AA83" s="8">
        <v>3</v>
      </c>
    </row>
    <row r="84" spans="3:27" ht="45" x14ac:dyDescent="0.25">
      <c r="C84" s="1" t="str">
        <f>_xlfn.XLOOKUP(Tabla9[[#This Row],[PROGRAMA ORIGEN]],PROGRAMAS_N[PROGRAMAS ORIGEN],PROGRAMAS_N[NIVEL],"")</f>
        <v>TÉCNICO</v>
      </c>
      <c r="D84" s="16" t="s">
        <v>99</v>
      </c>
      <c r="E84" s="14">
        <v>240201500</v>
      </c>
      <c r="F84" s="10" t="s">
        <v>144</v>
      </c>
      <c r="G84" s="10" cm="1">
        <f t="array" ref="G84">+_xlfn.XLOOKUP(Tabla9[[#This Row],[ESPACIO ACADÉMICO DESTINO]]&amp;Tabla9[[#This Row],[PROGRAMA DESTINO]],Tabla49[ESPACIO ACADÉMICO DESTINO]&amp;Tabla49[PROGRAMA],Tabla49[CÓDIGO],"")</f>
        <v>15135</v>
      </c>
      <c r="H84" s="10" t="s">
        <v>56</v>
      </c>
      <c r="I84" s="14" cm="1">
        <f t="array" ref="I84">+_xlfn.XLOOKUP(Tabla9[[#This Row],[ESPACIO ACADÉMICO DESTINO]]&amp;Tabla9[[#This Row],[PROGRAMA DESTINO]],Tabla49[ESPACIO ACADÉMICO DESTINO]&amp;Tabla49[PROGRAMA],Tabla49[CRÉDITOS],"")</f>
        <v>2</v>
      </c>
      <c r="J84" s="14">
        <v>4.5</v>
      </c>
      <c r="K84" s="10" t="s">
        <v>53</v>
      </c>
      <c r="L84" s="1"/>
      <c r="M84" s="1"/>
      <c r="N84" s="1"/>
      <c r="X84" s="52" t="s">
        <v>73</v>
      </c>
      <c r="Y84" s="10">
        <v>48248</v>
      </c>
      <c r="Z84" s="10" t="s">
        <v>260</v>
      </c>
      <c r="AA84" s="8">
        <v>3</v>
      </c>
    </row>
    <row r="85" spans="3:27" ht="45" x14ac:dyDescent="0.25">
      <c r="C85" s="1" t="str">
        <f>_xlfn.XLOOKUP(Tabla9[[#This Row],[PROGRAMA ORIGEN]],PROGRAMAS_N[PROGRAMAS ORIGEN],PROGRAMAS_N[NIVEL],"")</f>
        <v>TÉCNICO</v>
      </c>
      <c r="D85" s="16" t="s">
        <v>99</v>
      </c>
      <c r="E85" s="14">
        <v>220201003</v>
      </c>
      <c r="F85" s="10" t="s">
        <v>166</v>
      </c>
      <c r="G85" s="10" cm="1">
        <f t="array" ref="G85">+_xlfn.XLOOKUP(Tabla9[[#This Row],[ESPACIO ACADÉMICO DESTINO]]&amp;Tabla9[[#This Row],[PROGRAMA DESTINO]],Tabla49[ESPACIO ACADÉMICO DESTINO]&amp;Tabla49[PROGRAMA],Tabla49[CÓDIGO],"")</f>
        <v>48132</v>
      </c>
      <c r="H85" s="10" t="s">
        <v>52</v>
      </c>
      <c r="I85" s="14" cm="1">
        <f t="array" ref="I85">+_xlfn.XLOOKUP(Tabla9[[#This Row],[ESPACIO ACADÉMICO DESTINO]]&amp;Tabla9[[#This Row],[PROGRAMA DESTINO]],Tabla49[ESPACIO ACADÉMICO DESTINO]&amp;Tabla49[PROGRAMA],Tabla49[CRÉDITOS],"")</f>
        <v>3</v>
      </c>
      <c r="J85" s="14">
        <v>4.5</v>
      </c>
      <c r="K85" s="10" t="s">
        <v>53</v>
      </c>
      <c r="L85" s="1"/>
      <c r="M85" s="1"/>
      <c r="N85" s="1"/>
      <c r="X85" s="52" t="s">
        <v>73</v>
      </c>
      <c r="Y85" s="10">
        <v>96117</v>
      </c>
      <c r="Z85" s="10" t="s">
        <v>261</v>
      </c>
      <c r="AA85" s="8">
        <v>3</v>
      </c>
    </row>
    <row r="86" spans="3:27" ht="45" x14ac:dyDescent="0.25">
      <c r="C86" s="1" t="str">
        <f>_xlfn.XLOOKUP(Tabla9[[#This Row],[PROGRAMA ORIGEN]],PROGRAMAS_N[PROGRAMAS ORIGEN],PROGRAMAS_N[NIVEL],"")</f>
        <v>TÉCNICO</v>
      </c>
      <c r="D86" s="16" t="s">
        <v>99</v>
      </c>
      <c r="E86" s="14">
        <v>220201003</v>
      </c>
      <c r="F86" s="10" t="s">
        <v>166</v>
      </c>
      <c r="G86" s="10" cm="1">
        <f t="array" ref="G86">+_xlfn.XLOOKUP(Tabla9[[#This Row],[ESPACIO ACADÉMICO DESTINO]]&amp;Tabla9[[#This Row],[PROGRAMA DESTINO]],Tabla49[ESPACIO ACADÉMICO DESTINO]&amp;Tabla49[PROGRAMA],Tabla49[CÓDIGO],"")</f>
        <v>16423</v>
      </c>
      <c r="H86" s="10" t="s">
        <v>110</v>
      </c>
      <c r="I86" s="14" cm="1">
        <f t="array" ref="I86">+_xlfn.XLOOKUP(Tabla9[[#This Row],[ESPACIO ACADÉMICO DESTINO]]&amp;Tabla9[[#This Row],[PROGRAMA DESTINO]],Tabla49[ESPACIO ACADÉMICO DESTINO]&amp;Tabla49[PROGRAMA],Tabla49[CRÉDITOS],"")</f>
        <v>2</v>
      </c>
      <c r="J86" s="14">
        <v>4.5</v>
      </c>
      <c r="K86" s="10" t="s">
        <v>53</v>
      </c>
      <c r="L86" s="1"/>
      <c r="M86" s="1"/>
      <c r="N86" s="1"/>
      <c r="X86" s="52" t="s">
        <v>73</v>
      </c>
      <c r="Y86" s="10">
        <v>16806</v>
      </c>
      <c r="Z86" s="10" t="s">
        <v>262</v>
      </c>
      <c r="AA86" s="8">
        <v>2</v>
      </c>
    </row>
    <row r="87" spans="3:27" ht="45" x14ac:dyDescent="0.25">
      <c r="C87" s="1" t="str">
        <f>_xlfn.XLOOKUP(Tabla9[[#This Row],[PROGRAMA ORIGEN]],PROGRAMAS_N[PROGRAMAS ORIGEN],PROGRAMAS_N[NIVEL],"")</f>
        <v>TÉCNICO</v>
      </c>
      <c r="D87" s="16" t="s">
        <v>99</v>
      </c>
      <c r="E87" s="14">
        <v>220201003</v>
      </c>
      <c r="F87" s="10" t="s">
        <v>166</v>
      </c>
      <c r="G87" s="10" cm="1">
        <f t="array" ref="G87">+_xlfn.XLOOKUP(Tabla9[[#This Row],[ESPACIO ACADÉMICO DESTINO]]&amp;Tabla9[[#This Row],[PROGRAMA DESTINO]],Tabla49[ESPACIO ACADÉMICO DESTINO]&amp;Tabla49[PROGRAMA],Tabla49[CÓDIGO],"")</f>
        <v>73514</v>
      </c>
      <c r="H87" s="10" t="s">
        <v>90</v>
      </c>
      <c r="I87" s="14" cm="1">
        <f t="array" ref="I87">+_xlfn.XLOOKUP(Tabla9[[#This Row],[ESPACIO ACADÉMICO DESTINO]]&amp;Tabla9[[#This Row],[PROGRAMA DESTINO]],Tabla49[ESPACIO ACADÉMICO DESTINO]&amp;Tabla49[PROGRAMA],Tabla49[CRÉDITOS],"")</f>
        <v>3</v>
      </c>
      <c r="J87" s="14">
        <v>4.5</v>
      </c>
      <c r="K87" s="10" t="s">
        <v>53</v>
      </c>
      <c r="L87" s="1"/>
      <c r="M87" s="1"/>
      <c r="N87" s="1"/>
      <c r="X87" s="52" t="s">
        <v>73</v>
      </c>
      <c r="Y87" s="10">
        <v>73633</v>
      </c>
      <c r="Z87" s="10" t="s">
        <v>201</v>
      </c>
      <c r="AA87" s="8">
        <v>2</v>
      </c>
    </row>
    <row r="88" spans="3:27" ht="45" x14ac:dyDescent="0.25">
      <c r="C88" s="1" t="str">
        <f>_xlfn.XLOOKUP(Tabla9[[#This Row],[PROGRAMA ORIGEN]],PROGRAMAS_N[PROGRAMAS ORIGEN],PROGRAMAS_N[NIVEL],"")</f>
        <v>TÉCNICO</v>
      </c>
      <c r="D88" s="16" t="s">
        <v>99</v>
      </c>
      <c r="E88" s="14">
        <v>220201003</v>
      </c>
      <c r="F88" s="10" t="s">
        <v>166</v>
      </c>
      <c r="G88" s="10" cm="1">
        <f t="array" ref="G88">+_xlfn.XLOOKUP(Tabla9[[#This Row],[ESPACIO ACADÉMICO DESTINO]]&amp;Tabla9[[#This Row],[PROGRAMA DESTINO]],Tabla49[ESPACIO ACADÉMICO DESTINO]&amp;Tabla49[PROGRAMA],Tabla49[CÓDIGO],"")</f>
        <v>48172</v>
      </c>
      <c r="H88" s="10" t="s">
        <v>168</v>
      </c>
      <c r="I88" s="14" cm="1">
        <f t="array" ref="I88">+_xlfn.XLOOKUP(Tabla9[[#This Row],[ESPACIO ACADÉMICO DESTINO]]&amp;Tabla9[[#This Row],[PROGRAMA DESTINO]],Tabla49[ESPACIO ACADÉMICO DESTINO]&amp;Tabla49[PROGRAMA],Tabla49[CRÉDITOS],"")</f>
        <v>3</v>
      </c>
      <c r="J88" s="14">
        <v>4.5</v>
      </c>
      <c r="K88" s="10" t="s">
        <v>53</v>
      </c>
      <c r="L88" s="1"/>
      <c r="M88" s="1"/>
      <c r="N88" s="1"/>
      <c r="X88" s="52" t="s">
        <v>73</v>
      </c>
      <c r="Y88" s="10">
        <v>48249</v>
      </c>
      <c r="Z88" s="10" t="s">
        <v>263</v>
      </c>
      <c r="AA88" s="8">
        <v>3</v>
      </c>
    </row>
    <row r="89" spans="3:27" ht="45" x14ac:dyDescent="0.25">
      <c r="C89" s="1" t="str">
        <f>_xlfn.XLOOKUP(Tabla9[[#This Row],[PROGRAMA ORIGEN]],PROGRAMAS_N[PROGRAMAS ORIGEN],PROGRAMAS_N[NIVEL],"")</f>
        <v>TÉCNICO</v>
      </c>
      <c r="D89" s="16" t="s">
        <v>99</v>
      </c>
      <c r="E89" s="14">
        <v>220201005</v>
      </c>
      <c r="F89" s="10" t="s">
        <v>203</v>
      </c>
      <c r="G89" s="10" cm="1">
        <f t="array" ref="G89">+_xlfn.XLOOKUP(Tabla9[[#This Row],[ESPACIO ACADÉMICO DESTINO]]&amp;Tabla9[[#This Row],[PROGRAMA DESTINO]],Tabla49[ESPACIO ACADÉMICO DESTINO]&amp;Tabla49[PROGRAMA],Tabla49[CÓDIGO],"")</f>
        <v>48156</v>
      </c>
      <c r="H89" s="10" t="s">
        <v>126</v>
      </c>
      <c r="I89" s="14" cm="1">
        <f t="array" ref="I89">+_xlfn.XLOOKUP(Tabla9[[#This Row],[ESPACIO ACADÉMICO DESTINO]]&amp;Tabla9[[#This Row],[PROGRAMA DESTINO]],Tabla49[ESPACIO ACADÉMICO DESTINO]&amp;Tabla49[PROGRAMA],Tabla49[CRÉDITOS],"")</f>
        <v>2</v>
      </c>
      <c r="J89" s="14">
        <v>4.5</v>
      </c>
      <c r="K89" s="10" t="s">
        <v>53</v>
      </c>
      <c r="L89" s="1"/>
      <c r="M89" s="1"/>
      <c r="N89" s="1"/>
      <c r="X89" s="52" t="s">
        <v>73</v>
      </c>
      <c r="Y89" s="10">
        <v>48250</v>
      </c>
      <c r="Z89" s="10" t="s">
        <v>264</v>
      </c>
      <c r="AA89" s="8">
        <v>3</v>
      </c>
    </row>
    <row r="90" spans="3:27" ht="45" x14ac:dyDescent="0.25">
      <c r="C90" s="1" t="str">
        <f>_xlfn.XLOOKUP(Tabla9[[#This Row],[PROGRAMA ORIGEN]],PROGRAMAS_N[PROGRAMAS ORIGEN],PROGRAMAS_N[NIVEL],"")</f>
        <v>TÉCNICO</v>
      </c>
      <c r="D90" s="16" t="s">
        <v>99</v>
      </c>
      <c r="E90" s="14">
        <v>220201005</v>
      </c>
      <c r="F90" s="10" t="s">
        <v>203</v>
      </c>
      <c r="G90" s="10" cm="1">
        <f t="array" ref="G90">+_xlfn.XLOOKUP(Tabla9[[#This Row],[ESPACIO ACADÉMICO DESTINO]]&amp;Tabla9[[#This Row],[PROGRAMA DESTINO]],Tabla49[ESPACIO ACADÉMICO DESTINO]&amp;Tabla49[PROGRAMA],Tabla49[CÓDIGO],"")</f>
        <v>48148</v>
      </c>
      <c r="H90" s="10" t="s">
        <v>70</v>
      </c>
      <c r="I90" s="14" cm="1">
        <f t="array" ref="I90">+_xlfn.XLOOKUP(Tabla9[[#This Row],[ESPACIO ACADÉMICO DESTINO]]&amp;Tabla9[[#This Row],[PROGRAMA DESTINO]],Tabla49[ESPACIO ACADÉMICO DESTINO]&amp;Tabla49[PROGRAMA],Tabla49[CRÉDITOS],"")</f>
        <v>2</v>
      </c>
      <c r="J90" s="14">
        <v>4.5</v>
      </c>
      <c r="K90" s="10" t="s">
        <v>53</v>
      </c>
      <c r="L90" s="1"/>
      <c r="M90" s="1"/>
      <c r="N90" s="1"/>
      <c r="X90" s="52" t="s">
        <v>73</v>
      </c>
      <c r="Y90" s="10">
        <v>48251</v>
      </c>
      <c r="Z90" s="10" t="s">
        <v>265</v>
      </c>
      <c r="AA90" s="8">
        <v>3</v>
      </c>
    </row>
    <row r="91" spans="3:27" ht="45" x14ac:dyDescent="0.25">
      <c r="C91" s="1" t="str">
        <f>_xlfn.XLOOKUP(Tabla9[[#This Row],[PROGRAMA ORIGEN]],PROGRAMAS_N[PROGRAMAS ORIGEN],PROGRAMAS_N[NIVEL],"")</f>
        <v>TÉCNICO</v>
      </c>
      <c r="D91" s="16" t="s">
        <v>99</v>
      </c>
      <c r="E91" s="14">
        <v>220201004</v>
      </c>
      <c r="F91" s="10" t="s">
        <v>187</v>
      </c>
      <c r="G91" s="10" cm="1">
        <f t="array" ref="G91">+_xlfn.XLOOKUP(Tabla9[[#This Row],[ESPACIO ACADÉMICO DESTINO]]&amp;Tabla9[[#This Row],[PROGRAMA DESTINO]],Tabla49[ESPACIO ACADÉMICO DESTINO]&amp;Tabla49[PROGRAMA],Tabla49[CÓDIGO],"")</f>
        <v>48163</v>
      </c>
      <c r="H91" s="10" t="s">
        <v>179</v>
      </c>
      <c r="I91" s="14" cm="1">
        <f t="array" ref="I91">+_xlfn.XLOOKUP(Tabla9[[#This Row],[ESPACIO ACADÉMICO DESTINO]]&amp;Tabla9[[#This Row],[PROGRAMA DESTINO]],Tabla49[ESPACIO ACADÉMICO DESTINO]&amp;Tabla49[PROGRAMA],Tabla49[CRÉDITOS],"")</f>
        <v>3</v>
      </c>
      <c r="J91" s="14">
        <v>4.5</v>
      </c>
      <c r="K91" s="10" t="s">
        <v>53</v>
      </c>
      <c r="L91" s="1"/>
      <c r="M91" s="1"/>
      <c r="N91" s="1"/>
      <c r="X91" s="52" t="s">
        <v>73</v>
      </c>
      <c r="Y91" s="10">
        <v>73943</v>
      </c>
      <c r="Z91" s="10" t="s">
        <v>266</v>
      </c>
      <c r="AA91" s="8">
        <v>3</v>
      </c>
    </row>
    <row r="92" spans="3:27" ht="45" x14ac:dyDescent="0.25">
      <c r="C92" s="1" t="str">
        <f>_xlfn.XLOOKUP(Tabla9[[#This Row],[PROGRAMA ORIGEN]],PROGRAMAS_N[PROGRAMAS ORIGEN],PROGRAMAS_N[NIVEL],"")</f>
        <v>TECNÓLOGO</v>
      </c>
      <c r="D92" s="16" t="s">
        <v>106</v>
      </c>
      <c r="E92" s="14">
        <v>260101014</v>
      </c>
      <c r="F92" s="10" t="s">
        <v>267</v>
      </c>
      <c r="G92" s="10" cm="1">
        <f t="array" ref="G92">+_xlfn.XLOOKUP(Tabla9[[#This Row],[ESPACIO ACADÉMICO DESTINO]]&amp;Tabla9[[#This Row],[PROGRAMA DESTINO]],Tabla49[ESPACIO ACADÉMICO DESTINO]&amp;Tabla49[PROGRAMA],Tabla49[CÓDIGO],"")</f>
        <v>15676</v>
      </c>
      <c r="H92" s="10" t="s">
        <v>268</v>
      </c>
      <c r="I92" s="14" cm="1">
        <f t="array" ref="I92">+_xlfn.XLOOKUP(Tabla9[[#This Row],[ESPACIO ACADÉMICO DESTINO]]&amp;Tabla9[[#This Row],[PROGRAMA DESTINO]],Tabla49[ESPACIO ACADÉMICO DESTINO]&amp;Tabla49[PROGRAMA],Tabla49[CRÉDITOS],"")</f>
        <v>3</v>
      </c>
      <c r="J92" s="14">
        <v>4.5</v>
      </c>
      <c r="K92" s="10" t="s">
        <v>85</v>
      </c>
      <c r="L92" s="1"/>
      <c r="M92" s="1"/>
      <c r="N92" s="1"/>
      <c r="X92" s="52" t="s">
        <v>73</v>
      </c>
      <c r="Y92" s="10">
        <v>73638</v>
      </c>
      <c r="Z92" s="10" t="s">
        <v>213</v>
      </c>
      <c r="AA92" s="8">
        <v>2</v>
      </c>
    </row>
    <row r="93" spans="3:27" ht="30" x14ac:dyDescent="0.25">
      <c r="C93" s="1" t="str">
        <f>_xlfn.XLOOKUP(Tabla9[[#This Row],[PROGRAMA ORIGEN]],PROGRAMAS_N[PROGRAMAS ORIGEN],PROGRAMAS_N[NIVEL],"")</f>
        <v>TECNÓLOGO</v>
      </c>
      <c r="D93" s="16" t="s">
        <v>106</v>
      </c>
      <c r="E93" s="14">
        <v>220201004</v>
      </c>
      <c r="F93" s="10" t="s">
        <v>187</v>
      </c>
      <c r="G93" s="10" cm="1">
        <f t="array" ref="G93">+_xlfn.XLOOKUP(Tabla9[[#This Row],[ESPACIO ACADÉMICO DESTINO]]&amp;Tabla9[[#This Row],[PROGRAMA DESTINO]],Tabla49[ESPACIO ACADÉMICO DESTINO]&amp;Tabla49[PROGRAMA],Tabla49[CÓDIGO],"")</f>
        <v>15046</v>
      </c>
      <c r="H93" s="10" t="s">
        <v>269</v>
      </c>
      <c r="I93" s="14" cm="1">
        <f t="array" ref="I93">+_xlfn.XLOOKUP(Tabla9[[#This Row],[ESPACIO ACADÉMICO DESTINO]]&amp;Tabla9[[#This Row],[PROGRAMA DESTINO]],Tabla49[ESPACIO ACADÉMICO DESTINO]&amp;Tabla49[PROGRAMA],Tabla49[CRÉDITOS],"")</f>
        <v>2</v>
      </c>
      <c r="J93" s="14">
        <v>4.5</v>
      </c>
      <c r="K93" s="10" t="s">
        <v>85</v>
      </c>
      <c r="L93" s="1"/>
      <c r="M93" s="1"/>
      <c r="N93" s="1"/>
      <c r="X93" s="52" t="s">
        <v>73</v>
      </c>
      <c r="Y93" s="10">
        <v>95110</v>
      </c>
      <c r="Z93" s="10" t="s">
        <v>160</v>
      </c>
      <c r="AA93" s="8">
        <v>2</v>
      </c>
    </row>
    <row r="94" spans="3:27" ht="45" x14ac:dyDescent="0.25">
      <c r="C94" s="1" t="str">
        <f>_xlfn.XLOOKUP(Tabla9[[#This Row],[PROGRAMA ORIGEN]],PROGRAMAS_N[PROGRAMAS ORIGEN],PROGRAMAS_N[NIVEL],"")</f>
        <v>TECNÓLOGO</v>
      </c>
      <c r="D94" s="16" t="s">
        <v>50</v>
      </c>
      <c r="E94" s="14">
        <v>280201173</v>
      </c>
      <c r="F94" s="10" t="s">
        <v>270</v>
      </c>
      <c r="G94" s="10" cm="1">
        <f t="array" ref="G94">+_xlfn.XLOOKUP(Tabla9[[#This Row],[ESPACIO ACADÉMICO DESTINO]]&amp;Tabla9[[#This Row],[PROGRAMA DESTINO]],Tabla49[ESPACIO ACADÉMICO DESTINO]&amp;Tabla49[PROGRAMA],Tabla49[CÓDIGO],"")</f>
        <v>15676</v>
      </c>
      <c r="H94" s="10" t="s">
        <v>268</v>
      </c>
      <c r="I94" s="14" cm="1">
        <f t="array" ref="I94">+_xlfn.XLOOKUP(Tabla9[[#This Row],[ESPACIO ACADÉMICO DESTINO]]&amp;Tabla9[[#This Row],[PROGRAMA DESTINO]],Tabla49[ESPACIO ACADÉMICO DESTINO]&amp;Tabla49[PROGRAMA],Tabla49[CRÉDITOS],"")</f>
        <v>3</v>
      </c>
      <c r="J94" s="14">
        <v>4.5</v>
      </c>
      <c r="K94" s="10" t="s">
        <v>85</v>
      </c>
      <c r="L94" s="1"/>
      <c r="M94" s="1"/>
      <c r="N94" s="1"/>
      <c r="X94" s="52" t="s">
        <v>73</v>
      </c>
      <c r="Y94" s="10">
        <v>48252</v>
      </c>
      <c r="Z94" s="10" t="s">
        <v>271</v>
      </c>
      <c r="AA94" s="10">
        <v>2</v>
      </c>
    </row>
    <row r="95" spans="3:27" ht="30" x14ac:dyDescent="0.25">
      <c r="C95" s="1" t="str">
        <f>_xlfn.XLOOKUP(Tabla9[[#This Row],[PROGRAMA ORIGEN]],PROGRAMAS_N[PROGRAMAS ORIGEN],PROGRAMAS_N[NIVEL],"")</f>
        <v>TECNÓLOGO</v>
      </c>
      <c r="D95" s="16" t="s">
        <v>50</v>
      </c>
      <c r="E95" s="14">
        <v>280201169</v>
      </c>
      <c r="F95" s="10" t="s">
        <v>51</v>
      </c>
      <c r="G95" s="10" cm="1">
        <f t="array" ref="G95">+_xlfn.XLOOKUP(Tabla9[[#This Row],[ESPACIO ACADÉMICO DESTINO]]&amp;Tabla9[[#This Row],[PROGRAMA DESTINO]],Tabla49[ESPACIO ACADÉMICO DESTINO]&amp;Tabla49[PROGRAMA],Tabla49[CÓDIGO],"")</f>
        <v>15068</v>
      </c>
      <c r="H95" s="10" t="s">
        <v>245</v>
      </c>
      <c r="I95" s="14" cm="1">
        <f t="array" ref="I95">+_xlfn.XLOOKUP(Tabla9[[#This Row],[ESPACIO ACADÉMICO DESTINO]]&amp;Tabla9[[#This Row],[PROGRAMA DESTINO]],Tabla49[ESPACIO ACADÉMICO DESTINO]&amp;Tabla49[PROGRAMA],Tabla49[CRÉDITOS],"")</f>
        <v>3</v>
      </c>
      <c r="J95" s="14">
        <v>4.5</v>
      </c>
      <c r="K95" s="10" t="s">
        <v>85</v>
      </c>
      <c r="L95" s="1"/>
      <c r="M95" s="1"/>
      <c r="N95" s="1"/>
      <c r="X95" s="52" t="s">
        <v>73</v>
      </c>
      <c r="Y95" s="8">
        <v>73952</v>
      </c>
      <c r="Z95" s="8" t="s">
        <v>272</v>
      </c>
      <c r="AA95" s="8">
        <v>3</v>
      </c>
    </row>
    <row r="96" spans="3:27" ht="30" x14ac:dyDescent="0.25">
      <c r="C96" s="1" t="str">
        <f>_xlfn.XLOOKUP(Tabla9[[#This Row],[PROGRAMA ORIGEN]],PROGRAMAS_N[PROGRAMAS ORIGEN],PROGRAMAS_N[NIVEL],"")</f>
        <v>TECNÓLOGO</v>
      </c>
      <c r="D96" s="16" t="s">
        <v>50</v>
      </c>
      <c r="E96" s="14">
        <v>280201171</v>
      </c>
      <c r="F96" s="10" t="s">
        <v>273</v>
      </c>
      <c r="G96" s="10" cm="1">
        <f t="array" ref="G96">+_xlfn.XLOOKUP(Tabla9[[#This Row],[ESPACIO ACADÉMICO DESTINO]]&amp;Tabla9[[#This Row],[PROGRAMA DESTINO]],Tabla49[ESPACIO ACADÉMICO DESTINO]&amp;Tabla49[PROGRAMA],Tabla49[CÓDIGO],"")</f>
        <v>15070</v>
      </c>
      <c r="H96" s="10" t="s">
        <v>274</v>
      </c>
      <c r="I96" s="14" cm="1">
        <f t="array" ref="I96">+_xlfn.XLOOKUP(Tabla9[[#This Row],[ESPACIO ACADÉMICO DESTINO]]&amp;Tabla9[[#This Row],[PROGRAMA DESTINO]],Tabla49[ESPACIO ACADÉMICO DESTINO]&amp;Tabla49[PROGRAMA],Tabla49[CRÉDITOS],"")</f>
        <v>3</v>
      </c>
      <c r="J96" s="14">
        <v>4.5</v>
      </c>
      <c r="K96" s="10" t="s">
        <v>85</v>
      </c>
      <c r="L96" s="1"/>
      <c r="M96" s="1"/>
      <c r="N96" s="1"/>
      <c r="X96" s="52" t="s">
        <v>73</v>
      </c>
      <c r="Y96" s="10">
        <v>48253</v>
      </c>
      <c r="Z96" s="10" t="s">
        <v>275</v>
      </c>
      <c r="AA96" s="10">
        <v>2</v>
      </c>
    </row>
    <row r="97" spans="3:27" ht="45" x14ac:dyDescent="0.25">
      <c r="C97" s="1" t="str">
        <f>_xlfn.XLOOKUP(Tabla9[[#This Row],[PROGRAMA ORIGEN]],PROGRAMAS_N[PROGRAMAS ORIGEN],PROGRAMAS_N[NIVEL],"")</f>
        <v>TECNÓLOGO</v>
      </c>
      <c r="D97" s="16" t="s">
        <v>50</v>
      </c>
      <c r="E97" s="14">
        <v>280201170</v>
      </c>
      <c r="F97" s="10" t="s">
        <v>89</v>
      </c>
      <c r="G97" s="10" cm="1">
        <f t="array" ref="G97">+_xlfn.XLOOKUP(Tabla9[[#This Row],[ESPACIO ACADÉMICO DESTINO]]&amp;Tabla9[[#This Row],[PROGRAMA DESTINO]],Tabla49[ESPACIO ACADÉMICO DESTINO]&amp;Tabla49[PROGRAMA],Tabla49[CÓDIGO],"")</f>
        <v>15050</v>
      </c>
      <c r="H97" s="10" t="s">
        <v>276</v>
      </c>
      <c r="I97" s="14" cm="1">
        <f t="array" ref="I97">+_xlfn.XLOOKUP(Tabla9[[#This Row],[ESPACIO ACADÉMICO DESTINO]]&amp;Tabla9[[#This Row],[PROGRAMA DESTINO]],Tabla49[ESPACIO ACADÉMICO DESTINO]&amp;Tabla49[PROGRAMA],Tabla49[CRÉDITOS],"")</f>
        <v>2</v>
      </c>
      <c r="J97" s="14">
        <v>4.5</v>
      </c>
      <c r="K97" s="10" t="s">
        <v>85</v>
      </c>
      <c r="L97" s="1"/>
      <c r="M97" s="1"/>
      <c r="N97" s="1"/>
      <c r="X97" s="52" t="s">
        <v>73</v>
      </c>
      <c r="Y97" s="10">
        <v>48254</v>
      </c>
      <c r="Z97" s="10" t="s">
        <v>277</v>
      </c>
      <c r="AA97" s="10">
        <v>2</v>
      </c>
    </row>
    <row r="98" spans="3:27" ht="45" x14ac:dyDescent="0.25">
      <c r="C98" s="1" t="str">
        <f>_xlfn.XLOOKUP(Tabla9[[#This Row],[PROGRAMA ORIGEN]],PROGRAMAS_N[PROGRAMAS ORIGEN],PROGRAMAS_N[NIVEL],"")</f>
        <v>TECNÓLOGO</v>
      </c>
      <c r="D98" s="16" t="s">
        <v>111</v>
      </c>
      <c r="E98" s="14">
        <v>291201024</v>
      </c>
      <c r="F98" s="10" t="s">
        <v>278</v>
      </c>
      <c r="G98" s="10" cm="1">
        <f t="array" ref="G98">+_xlfn.XLOOKUP(Tabla9[[#This Row],[ESPACIO ACADÉMICO DESTINO]]&amp;Tabla9[[#This Row],[PROGRAMA DESTINO]],Tabla49[ESPACIO ACADÉMICO DESTINO]&amp;Tabla49[PROGRAMA],Tabla49[CÓDIGO],"")</f>
        <v>15046</v>
      </c>
      <c r="H98" s="10" t="s">
        <v>269</v>
      </c>
      <c r="I98" s="14" cm="1">
        <f t="array" ref="I98">+_xlfn.XLOOKUP(Tabla9[[#This Row],[ESPACIO ACADÉMICO DESTINO]]&amp;Tabla9[[#This Row],[PROGRAMA DESTINO]],Tabla49[ESPACIO ACADÉMICO DESTINO]&amp;Tabla49[PROGRAMA],Tabla49[CRÉDITOS],"")</f>
        <v>2</v>
      </c>
      <c r="J98" s="14">
        <v>4.5</v>
      </c>
      <c r="K98" s="10" t="s">
        <v>85</v>
      </c>
      <c r="X98" s="52" t="s">
        <v>73</v>
      </c>
      <c r="Y98" s="8">
        <v>48255</v>
      </c>
      <c r="Z98" s="8" t="s">
        <v>279</v>
      </c>
      <c r="AA98" s="8">
        <v>3</v>
      </c>
    </row>
    <row r="99" spans="3:27" ht="45" x14ac:dyDescent="0.25">
      <c r="C99" s="1" t="str">
        <f>_xlfn.XLOOKUP(Tabla9[[#This Row],[PROGRAMA ORIGEN]],PROGRAMAS_N[PROGRAMAS ORIGEN],PROGRAMAS_N[NIVEL],"")</f>
        <v>TECNÓLOGO</v>
      </c>
      <c r="D99" s="16" t="s">
        <v>111</v>
      </c>
      <c r="E99" s="14">
        <v>291201026</v>
      </c>
      <c r="F99" s="10" t="s">
        <v>280</v>
      </c>
      <c r="G99" s="10" cm="1">
        <f t="array" ref="G99">+_xlfn.XLOOKUP(Tabla9[[#This Row],[ESPACIO ACADÉMICO DESTINO]]&amp;Tabla9[[#This Row],[PROGRAMA DESTINO]],Tabla49[ESPACIO ACADÉMICO DESTINO]&amp;Tabla49[PROGRAMA],Tabla49[CÓDIGO],"")</f>
        <v>15029</v>
      </c>
      <c r="H99" s="10" t="s">
        <v>90</v>
      </c>
      <c r="I99" s="14" cm="1">
        <f t="array" ref="I99">+_xlfn.XLOOKUP(Tabla9[[#This Row],[ESPACIO ACADÉMICO DESTINO]]&amp;Tabla9[[#This Row],[PROGRAMA DESTINO]],Tabla49[ESPACIO ACADÉMICO DESTINO]&amp;Tabla49[PROGRAMA],Tabla49[CRÉDITOS],"")</f>
        <v>2</v>
      </c>
      <c r="J99" s="14">
        <v>4.5</v>
      </c>
      <c r="K99" s="10" t="s">
        <v>85</v>
      </c>
      <c r="X99" s="52" t="s">
        <v>73</v>
      </c>
      <c r="Y99" s="10">
        <v>95111</v>
      </c>
      <c r="Z99" s="10" t="s">
        <v>184</v>
      </c>
      <c r="AA99" s="10">
        <v>2</v>
      </c>
    </row>
    <row r="100" spans="3:27" ht="45" x14ac:dyDescent="0.25">
      <c r="C100" s="1" t="str">
        <f>_xlfn.XLOOKUP(Tabla9[[#This Row],[PROGRAMA ORIGEN]],PROGRAMAS_N[PROGRAMAS ORIGEN],PROGRAMAS_N[NIVEL],"")</f>
        <v>TECNÓLOGO</v>
      </c>
      <c r="D100" s="16" t="s">
        <v>111</v>
      </c>
      <c r="E100" s="14">
        <v>240201500</v>
      </c>
      <c r="F100" s="10" t="s">
        <v>144</v>
      </c>
      <c r="G100" s="10" cm="1">
        <f t="array" ref="G100">+_xlfn.XLOOKUP(Tabla9[[#This Row],[ESPACIO ACADÉMICO DESTINO]]&amp;Tabla9[[#This Row],[PROGRAMA DESTINO]],Tabla49[ESPACIO ACADÉMICO DESTINO]&amp;Tabla49[PROGRAMA],Tabla49[CÓDIGO],"")</f>
        <v>15676</v>
      </c>
      <c r="H100" s="10" t="s">
        <v>268</v>
      </c>
      <c r="I100" s="14" cm="1">
        <f t="array" ref="I100">+_xlfn.XLOOKUP(Tabla9[[#This Row],[ESPACIO ACADÉMICO DESTINO]]&amp;Tabla9[[#This Row],[PROGRAMA DESTINO]],Tabla49[ESPACIO ACADÉMICO DESTINO]&amp;Tabla49[PROGRAMA],Tabla49[CRÉDITOS],"")</f>
        <v>3</v>
      </c>
      <c r="J100" s="14">
        <v>4.5</v>
      </c>
      <c r="K100" s="10" t="s">
        <v>85</v>
      </c>
      <c r="X100" s="52" t="s">
        <v>73</v>
      </c>
      <c r="Y100" s="10">
        <v>48256</v>
      </c>
      <c r="Z100" s="10" t="s">
        <v>281</v>
      </c>
      <c r="AA100" s="10">
        <v>2</v>
      </c>
    </row>
    <row r="101" spans="3:27" ht="30" x14ac:dyDescent="0.25">
      <c r="C101" s="1" t="str">
        <f>_xlfn.XLOOKUP(Tabla9[[#This Row],[PROGRAMA ORIGEN]],PROGRAMAS_N[PROGRAMAS ORIGEN],PROGRAMAS_N[NIVEL],"")</f>
        <v>TECNÓLOGO</v>
      </c>
      <c r="D101" s="16" t="s">
        <v>115</v>
      </c>
      <c r="E101" s="14">
        <v>220201001</v>
      </c>
      <c r="F101" s="10" t="s">
        <v>282</v>
      </c>
      <c r="G101" s="10" cm="1">
        <f t="array" ref="G101">+_xlfn.XLOOKUP(Tabla9[[#This Row],[ESPACIO ACADÉMICO DESTINO]]&amp;Tabla9[[#This Row],[PROGRAMA DESTINO]],Tabla49[ESPACIO ACADÉMICO DESTINO]&amp;Tabla49[PROGRAMA],Tabla49[CÓDIGO],"")</f>
        <v>15079</v>
      </c>
      <c r="H101" s="10" t="s">
        <v>283</v>
      </c>
      <c r="I101" s="14" cm="1">
        <f t="array" ref="I101">+_xlfn.XLOOKUP(Tabla9[[#This Row],[ESPACIO ACADÉMICO DESTINO]]&amp;Tabla9[[#This Row],[PROGRAMA DESTINO]],Tabla49[ESPACIO ACADÉMICO DESTINO]&amp;Tabla49[PROGRAMA],Tabla49[CRÉDITOS],"")</f>
        <v>3</v>
      </c>
      <c r="J101" s="14">
        <v>4.5</v>
      </c>
      <c r="K101" s="10" t="s">
        <v>85</v>
      </c>
      <c r="X101" s="52" t="s">
        <v>73</v>
      </c>
      <c r="Y101" s="10">
        <v>48273</v>
      </c>
      <c r="Z101" s="10" t="s">
        <v>284</v>
      </c>
      <c r="AA101" s="10">
        <v>3</v>
      </c>
    </row>
    <row r="102" spans="3:27" ht="30" x14ac:dyDescent="0.25">
      <c r="C102" s="1" t="str">
        <f>_xlfn.XLOOKUP(Tabla9[[#This Row],[PROGRAMA ORIGEN]],PROGRAMAS_N[PROGRAMAS ORIGEN],PROGRAMAS_N[NIVEL],"")</f>
        <v>TECNÓLOGO</v>
      </c>
      <c r="D102" s="16" t="s">
        <v>115</v>
      </c>
      <c r="E102" s="14">
        <v>220201001</v>
      </c>
      <c r="F102" s="10" t="s">
        <v>282</v>
      </c>
      <c r="G102" s="10" cm="1">
        <f t="array" ref="G102">+_xlfn.XLOOKUP(Tabla9[[#This Row],[ESPACIO ACADÉMICO DESTINO]]&amp;Tabla9[[#This Row],[PROGRAMA DESTINO]],Tabla49[ESPACIO ACADÉMICO DESTINO]&amp;Tabla49[PROGRAMA],Tabla49[CÓDIGO],"")</f>
        <v>15674</v>
      </c>
      <c r="H102" s="10" t="s">
        <v>285</v>
      </c>
      <c r="I102" s="14" cm="1">
        <f t="array" ref="I102">+_xlfn.XLOOKUP(Tabla9[[#This Row],[ESPACIO ACADÉMICO DESTINO]]&amp;Tabla9[[#This Row],[PROGRAMA DESTINO]],Tabla49[ESPACIO ACADÉMICO DESTINO]&amp;Tabla49[PROGRAMA],Tabla49[CRÉDITOS],"")</f>
        <v>3</v>
      </c>
      <c r="J102" s="14">
        <v>4.5</v>
      </c>
      <c r="K102" s="10" t="s">
        <v>85</v>
      </c>
      <c r="X102" s="52" t="s">
        <v>73</v>
      </c>
      <c r="Y102" s="10">
        <v>48257</v>
      </c>
      <c r="Z102" s="10" t="s">
        <v>286</v>
      </c>
      <c r="AA102" s="10">
        <v>2</v>
      </c>
    </row>
    <row r="103" spans="3:27" ht="30" x14ac:dyDescent="0.25">
      <c r="C103" s="1" t="str">
        <f>_xlfn.XLOOKUP(Tabla9[[#This Row],[PROGRAMA ORIGEN]],PROGRAMAS_N[PROGRAMAS ORIGEN],PROGRAMAS_N[NIVEL],"")</f>
        <v>TECNÓLOGO</v>
      </c>
      <c r="D103" s="16" t="s">
        <v>115</v>
      </c>
      <c r="E103" s="14">
        <v>220201001</v>
      </c>
      <c r="F103" s="10" t="s">
        <v>282</v>
      </c>
      <c r="G103" s="10" cm="1">
        <f t="array" ref="G103">+_xlfn.XLOOKUP(Tabla9[[#This Row],[ESPACIO ACADÉMICO DESTINO]]&amp;Tabla9[[#This Row],[PROGRAMA DESTINO]],Tabla49[ESPACIO ACADÉMICO DESTINO]&amp;Tabla49[PROGRAMA],Tabla49[CÓDIGO],"")</f>
        <v>15075</v>
      </c>
      <c r="H103" s="10" t="s">
        <v>287</v>
      </c>
      <c r="I103" s="14" cm="1">
        <f t="array" ref="I103">+_xlfn.XLOOKUP(Tabla9[[#This Row],[ESPACIO ACADÉMICO DESTINO]]&amp;Tabla9[[#This Row],[PROGRAMA DESTINO]],Tabla49[ESPACIO ACADÉMICO DESTINO]&amp;Tabla49[PROGRAMA],Tabla49[CRÉDITOS],"")</f>
        <v>3</v>
      </c>
      <c r="J103" s="14">
        <v>4.5</v>
      </c>
      <c r="K103" s="10" t="s">
        <v>85</v>
      </c>
      <c r="X103" s="52" t="s">
        <v>73</v>
      </c>
      <c r="Y103" s="8">
        <v>48258</v>
      </c>
      <c r="Z103" s="8" t="s">
        <v>288</v>
      </c>
      <c r="AA103" s="8">
        <v>3</v>
      </c>
    </row>
    <row r="104" spans="3:27" ht="45" x14ac:dyDescent="0.25">
      <c r="C104" s="1" t="str">
        <f>_xlfn.XLOOKUP(Tabla9[[#This Row],[PROGRAMA ORIGEN]],PROGRAMAS_N[PROGRAMAS ORIGEN],PROGRAMAS_N[NIVEL],"")</f>
        <v>TECNÓLOGO</v>
      </c>
      <c r="D104" s="16" t="s">
        <v>115</v>
      </c>
      <c r="E104" s="14">
        <v>220601501</v>
      </c>
      <c r="F104" s="10" t="s">
        <v>289</v>
      </c>
      <c r="G104" s="10" cm="1">
        <f t="array" ref="G104">+_xlfn.XLOOKUP(Tabla9[[#This Row],[ESPACIO ACADÉMICO DESTINO]]&amp;Tabla9[[#This Row],[PROGRAMA DESTINO]],Tabla49[ESPACIO ACADÉMICO DESTINO]&amp;Tabla49[PROGRAMA],Tabla49[CÓDIGO],"")</f>
        <v>15062</v>
      </c>
      <c r="H104" s="10" t="s">
        <v>290</v>
      </c>
      <c r="I104" s="14" cm="1">
        <f t="array" ref="I104">+_xlfn.XLOOKUP(Tabla9[[#This Row],[ESPACIO ACADÉMICO DESTINO]]&amp;Tabla9[[#This Row],[PROGRAMA DESTINO]],Tabla49[ESPACIO ACADÉMICO DESTINO]&amp;Tabla49[PROGRAMA],Tabla49[CRÉDITOS],"")</f>
        <v>3</v>
      </c>
      <c r="J104" s="14">
        <v>4.5</v>
      </c>
      <c r="K104" s="10" t="s">
        <v>85</v>
      </c>
      <c r="X104" s="52" t="s">
        <v>73</v>
      </c>
      <c r="Y104" s="8">
        <v>48259</v>
      </c>
      <c r="Z104" s="8" t="s">
        <v>291</v>
      </c>
      <c r="AA104" s="8">
        <v>2</v>
      </c>
    </row>
    <row r="105" spans="3:27" ht="30" x14ac:dyDescent="0.25">
      <c r="C105" s="1" t="str">
        <f>_xlfn.XLOOKUP(Tabla9[[#This Row],[PROGRAMA ORIGEN]],PROGRAMAS_N[PROGRAMAS ORIGEN],PROGRAMAS_N[NIVEL],"")</f>
        <v>TECNÓLOGO</v>
      </c>
      <c r="D105" s="16" t="s">
        <v>115</v>
      </c>
      <c r="E105" s="14">
        <v>291201001</v>
      </c>
      <c r="F105" s="10" t="s">
        <v>292</v>
      </c>
      <c r="G105" s="10" cm="1">
        <f t="array" ref="G105">+_xlfn.XLOOKUP(Tabla9[[#This Row],[ESPACIO ACADÉMICO DESTINO]]&amp;Tabla9[[#This Row],[PROGRAMA DESTINO]],Tabla49[ESPACIO ACADÉMICO DESTINO]&amp;Tabla49[PROGRAMA],Tabla49[CÓDIGO],"")</f>
        <v>15065</v>
      </c>
      <c r="H105" s="10" t="s">
        <v>293</v>
      </c>
      <c r="I105" s="14" cm="1">
        <f t="array" ref="I105">+_xlfn.XLOOKUP(Tabla9[[#This Row],[ESPACIO ACADÉMICO DESTINO]]&amp;Tabla9[[#This Row],[PROGRAMA DESTINO]],Tabla49[ESPACIO ACADÉMICO DESTINO]&amp;Tabla49[PROGRAMA],Tabla49[CRÉDITOS],"")</f>
        <v>2</v>
      </c>
      <c r="J105" s="14">
        <v>4.5</v>
      </c>
      <c r="K105" s="10" t="s">
        <v>85</v>
      </c>
      <c r="X105" s="52" t="s">
        <v>73</v>
      </c>
      <c r="Y105" s="8">
        <v>95112</v>
      </c>
      <c r="Z105" s="8" t="s">
        <v>202</v>
      </c>
      <c r="AA105" s="8">
        <v>2</v>
      </c>
    </row>
    <row r="106" spans="3:27" ht="30" x14ac:dyDescent="0.25">
      <c r="C106" s="1" t="str">
        <f>_xlfn.XLOOKUP(Tabla9[[#This Row],[PROGRAMA ORIGEN]],PROGRAMAS_N[PROGRAMAS ORIGEN],PROGRAMAS_N[NIVEL],"")</f>
        <v>TECNÓLOGO</v>
      </c>
      <c r="D106" s="16" t="s">
        <v>115</v>
      </c>
      <c r="E106" s="14">
        <v>220201073</v>
      </c>
      <c r="F106" s="10" t="s">
        <v>294</v>
      </c>
      <c r="G106" s="10" cm="1">
        <f t="array" ref="G106">+_xlfn.XLOOKUP(Tabla9[[#This Row],[ESPACIO ACADÉMICO DESTINO]]&amp;Tabla9[[#This Row],[PROGRAMA DESTINO]],Tabla49[ESPACIO ACADÉMICO DESTINO]&amp;Tabla49[PROGRAMA],Tabla49[CÓDIGO],"")</f>
        <v>15050</v>
      </c>
      <c r="H106" s="10" t="s">
        <v>276</v>
      </c>
      <c r="I106" s="14" cm="1">
        <f t="array" ref="I106">+_xlfn.XLOOKUP(Tabla9[[#This Row],[ESPACIO ACADÉMICO DESTINO]]&amp;Tabla9[[#This Row],[PROGRAMA DESTINO]],Tabla49[ESPACIO ACADÉMICO DESTINO]&amp;Tabla49[PROGRAMA],Tabla49[CRÉDITOS],"")</f>
        <v>2</v>
      </c>
      <c r="J106" s="14">
        <v>4.5</v>
      </c>
      <c r="K106" s="10" t="s">
        <v>85</v>
      </c>
      <c r="X106" s="52" t="s">
        <v>73</v>
      </c>
      <c r="Y106" s="8">
        <v>73632</v>
      </c>
      <c r="Z106" s="8" t="s">
        <v>295</v>
      </c>
      <c r="AA106" s="8">
        <v>3</v>
      </c>
    </row>
    <row r="107" spans="3:27" ht="30" x14ac:dyDescent="0.25">
      <c r="C107" s="1" t="str">
        <f>_xlfn.XLOOKUP(Tabla9[[#This Row],[PROGRAMA ORIGEN]],PROGRAMAS_N[PROGRAMAS ORIGEN],PROGRAMAS_N[NIVEL],"")</f>
        <v>TECNÓLOGO</v>
      </c>
      <c r="D107" s="16" t="s">
        <v>115</v>
      </c>
      <c r="E107" s="14">
        <v>220201501</v>
      </c>
      <c r="F107" s="10" t="s">
        <v>296</v>
      </c>
      <c r="G107" s="10" cm="1">
        <f t="array" ref="G107">+_xlfn.XLOOKUP(Tabla9[[#This Row],[ESPACIO ACADÉMICO DESTINO]]&amp;Tabla9[[#This Row],[PROGRAMA DESTINO]],Tabla49[ESPACIO ACADÉMICO DESTINO]&amp;Tabla49[PROGRAMA],Tabla49[CÓDIGO],"")</f>
        <v>15676</v>
      </c>
      <c r="H107" s="10" t="s">
        <v>268</v>
      </c>
      <c r="I107" s="14" cm="1">
        <f t="array" ref="I107">+_xlfn.XLOOKUP(Tabla9[[#This Row],[ESPACIO ACADÉMICO DESTINO]]&amp;Tabla9[[#This Row],[PROGRAMA DESTINO]],Tabla49[ESPACIO ACADÉMICO DESTINO]&amp;Tabla49[PROGRAMA],Tabla49[CRÉDITOS],"")</f>
        <v>3</v>
      </c>
      <c r="J107" s="14">
        <v>4.5</v>
      </c>
      <c r="K107" s="10" t="s">
        <v>85</v>
      </c>
      <c r="X107" s="52" t="s">
        <v>73</v>
      </c>
      <c r="Y107" s="8">
        <v>73948</v>
      </c>
      <c r="Z107" s="8" t="s">
        <v>297</v>
      </c>
      <c r="AA107" s="8">
        <v>3</v>
      </c>
    </row>
    <row r="108" spans="3:27" ht="30" x14ac:dyDescent="0.25">
      <c r="C108" s="1" t="str">
        <f>_xlfn.XLOOKUP(Tabla9[[#This Row],[PROGRAMA ORIGEN]],PROGRAMAS_N[PROGRAMAS ORIGEN],PROGRAMAS_N[NIVEL],"")</f>
        <v>TECNÓLOGO</v>
      </c>
      <c r="D108" s="16" t="s">
        <v>115</v>
      </c>
      <c r="E108" s="14">
        <v>220201078</v>
      </c>
      <c r="F108" s="10" t="s">
        <v>298</v>
      </c>
      <c r="G108" s="10" cm="1">
        <f t="array" ref="G108">+_xlfn.XLOOKUP(Tabla9[[#This Row],[ESPACIO ACADÉMICO DESTINO]]&amp;Tabla9[[#This Row],[PROGRAMA DESTINO]],Tabla49[ESPACIO ACADÉMICO DESTINO]&amp;Tabla49[PROGRAMA],Tabla49[CÓDIGO],"")</f>
        <v>15027</v>
      </c>
      <c r="H108" s="10" t="s">
        <v>299</v>
      </c>
      <c r="I108" s="14" cm="1">
        <f t="array" ref="I108">+_xlfn.XLOOKUP(Tabla9[[#This Row],[ESPACIO ACADÉMICO DESTINO]]&amp;Tabla9[[#This Row],[PROGRAMA DESTINO]],Tabla49[ESPACIO ACADÉMICO DESTINO]&amp;Tabla49[PROGRAMA],Tabla49[CRÉDITOS],"")</f>
        <v>2</v>
      </c>
      <c r="J108" s="14">
        <v>4.5</v>
      </c>
      <c r="K108" s="10" t="s">
        <v>85</v>
      </c>
      <c r="X108" s="52" t="s">
        <v>73</v>
      </c>
      <c r="Y108" s="8">
        <v>48260</v>
      </c>
      <c r="Z108" s="8" t="s">
        <v>300</v>
      </c>
      <c r="AA108" s="8">
        <v>3</v>
      </c>
    </row>
    <row r="109" spans="3:27" ht="30" x14ac:dyDescent="0.25">
      <c r="C109" s="1" t="str">
        <f>_xlfn.XLOOKUP(Tabla9[[#This Row],[PROGRAMA ORIGEN]],PROGRAMAS_N[PROGRAMAS ORIGEN],PROGRAMAS_N[NIVEL],"")</f>
        <v>TECNÓLOGO</v>
      </c>
      <c r="D109" s="16" t="s">
        <v>115</v>
      </c>
      <c r="E109" s="14">
        <v>220201073</v>
      </c>
      <c r="F109" s="10" t="s">
        <v>294</v>
      </c>
      <c r="G109" s="10" cm="1">
        <f t="array" ref="G109">+_xlfn.XLOOKUP(Tabla9[[#This Row],[ESPACIO ACADÉMICO DESTINO]]&amp;Tabla9[[#This Row],[PROGRAMA DESTINO]],Tabla49[ESPACIO ACADÉMICO DESTINO]&amp;Tabla49[PROGRAMA],Tabla49[CÓDIGO],"")</f>
        <v>15046</v>
      </c>
      <c r="H109" s="10" t="s">
        <v>269</v>
      </c>
      <c r="I109" s="14" cm="1">
        <f t="array" ref="I109">+_xlfn.XLOOKUP(Tabla9[[#This Row],[ESPACIO ACADÉMICO DESTINO]]&amp;Tabla9[[#This Row],[PROGRAMA DESTINO]],Tabla49[ESPACIO ACADÉMICO DESTINO]&amp;Tabla49[PROGRAMA],Tabla49[CRÉDITOS],"")</f>
        <v>2</v>
      </c>
      <c r="J109" s="14">
        <v>4.5</v>
      </c>
      <c r="K109" s="10" t="s">
        <v>85</v>
      </c>
      <c r="X109" s="52" t="s">
        <v>73</v>
      </c>
      <c r="Y109" s="8">
        <v>95113</v>
      </c>
      <c r="Z109" s="8" t="s">
        <v>214</v>
      </c>
      <c r="AA109" s="8">
        <v>2</v>
      </c>
    </row>
    <row r="110" spans="3:27" ht="30" x14ac:dyDescent="0.25">
      <c r="C110" s="1" t="str">
        <f>_xlfn.XLOOKUP(Tabla9[[#This Row],[PROGRAMA ORIGEN]],PROGRAMAS_N[PROGRAMAS ORIGEN],PROGRAMAS_N[NIVEL],"")</f>
        <v>TÉCNICO</v>
      </c>
      <c r="D110" s="16" t="s">
        <v>120</v>
      </c>
      <c r="E110" s="14">
        <v>270401029</v>
      </c>
      <c r="F110" s="10" t="s">
        <v>301</v>
      </c>
      <c r="G110" s="10" cm="1">
        <f t="array" ref="G110">+_xlfn.XLOOKUP(Tabla9[[#This Row],[ESPACIO ACADÉMICO DESTINO]]&amp;Tabla9[[#This Row],[PROGRAMA DESTINO]],Tabla49[ESPACIO ACADÉMICO DESTINO]&amp;Tabla49[PROGRAMA],Tabla49[CÓDIGO],"")</f>
        <v>15068</v>
      </c>
      <c r="H110" s="10" t="s">
        <v>245</v>
      </c>
      <c r="I110" s="14" cm="1">
        <f t="array" ref="I110">+_xlfn.XLOOKUP(Tabla9[[#This Row],[ESPACIO ACADÉMICO DESTINO]]&amp;Tabla9[[#This Row],[PROGRAMA DESTINO]],Tabla49[ESPACIO ACADÉMICO DESTINO]&amp;Tabla49[PROGRAMA],Tabla49[CRÉDITOS],"")</f>
        <v>3</v>
      </c>
      <c r="J110" s="14">
        <v>4.5</v>
      </c>
      <c r="K110" s="10" t="s">
        <v>85</v>
      </c>
      <c r="X110" s="52" t="s">
        <v>73</v>
      </c>
      <c r="Y110" s="8">
        <v>48161</v>
      </c>
      <c r="Z110" s="8" t="s">
        <v>302</v>
      </c>
      <c r="AA110" s="8">
        <v>3</v>
      </c>
    </row>
    <row r="111" spans="3:27" ht="30" x14ac:dyDescent="0.25">
      <c r="C111" s="1" t="str">
        <f>_xlfn.XLOOKUP(Tabla9[[#This Row],[PROGRAMA ORIGEN]],PROGRAMAS_N[PROGRAMAS ORIGEN],PROGRAMAS_N[NIVEL],"")</f>
        <v>TÉCNICO</v>
      </c>
      <c r="D111" s="16" t="s">
        <v>120</v>
      </c>
      <c r="E111" s="14">
        <v>280201169</v>
      </c>
      <c r="F111" s="10" t="s">
        <v>303</v>
      </c>
      <c r="G111" s="10" cm="1">
        <f t="array" ref="G111">+_xlfn.XLOOKUP(Tabla9[[#This Row],[ESPACIO ACADÉMICO DESTINO]]&amp;Tabla9[[#This Row],[PROGRAMA DESTINO]],Tabla49[ESPACIO ACADÉMICO DESTINO]&amp;Tabla49[PROGRAMA],Tabla49[CÓDIGO],"")</f>
        <v>15676</v>
      </c>
      <c r="H111" s="10" t="s">
        <v>268</v>
      </c>
      <c r="I111" s="14" cm="1">
        <f t="array" ref="I111">+_xlfn.XLOOKUP(Tabla9[[#This Row],[ESPACIO ACADÉMICO DESTINO]]&amp;Tabla9[[#This Row],[PROGRAMA DESTINO]],Tabla49[ESPACIO ACADÉMICO DESTINO]&amp;Tabla49[PROGRAMA],Tabla49[CRÉDITOS],"")</f>
        <v>3</v>
      </c>
      <c r="J111" s="14">
        <v>4.5</v>
      </c>
      <c r="K111" s="10" t="s">
        <v>85</v>
      </c>
      <c r="X111" s="52" t="s">
        <v>73</v>
      </c>
      <c r="Y111" s="8">
        <v>48166</v>
      </c>
      <c r="Z111" s="8" t="s">
        <v>304</v>
      </c>
      <c r="AA111" s="8">
        <v>3</v>
      </c>
    </row>
    <row r="112" spans="3:27" ht="45" x14ac:dyDescent="0.25">
      <c r="C112" s="1" t="str">
        <f>_xlfn.XLOOKUP(Tabla9[[#This Row],[PROGRAMA ORIGEN]],PROGRAMAS_N[PROGRAMAS ORIGEN],PROGRAMAS_N[NIVEL],"")</f>
        <v>TECNÓLOGO</v>
      </c>
      <c r="D112" s="16" t="s">
        <v>54</v>
      </c>
      <c r="E112" s="14">
        <v>250801009</v>
      </c>
      <c r="F112" s="10" t="s">
        <v>305</v>
      </c>
      <c r="G112" s="10" cm="1">
        <f t="array" ref="G112">+_xlfn.XLOOKUP(Tabla9[[#This Row],[ESPACIO ACADÉMICO DESTINO]]&amp;Tabla9[[#This Row],[PROGRAMA DESTINO]],Tabla49[ESPACIO ACADÉMICO DESTINO]&amp;Tabla49[PROGRAMA],Tabla49[CÓDIGO],"")</f>
        <v>50205</v>
      </c>
      <c r="H112" s="10" t="s">
        <v>306</v>
      </c>
      <c r="I112" s="14" cm="1">
        <f t="array" ref="I112">+_xlfn.XLOOKUP(Tabla9[[#This Row],[ESPACIO ACADÉMICO DESTINO]]&amp;Tabla9[[#This Row],[PROGRAMA DESTINO]],Tabla49[ESPACIO ACADÉMICO DESTINO]&amp;Tabla49[PROGRAMA],Tabla49[CRÉDITOS],"")</f>
        <v>2</v>
      </c>
      <c r="J112" s="14">
        <v>4.5</v>
      </c>
      <c r="K112" s="10" t="s">
        <v>80</v>
      </c>
      <c r="X112" s="52" t="s">
        <v>73</v>
      </c>
      <c r="Y112" s="10">
        <v>73226</v>
      </c>
      <c r="Z112" s="8" t="s">
        <v>307</v>
      </c>
      <c r="AA112" s="8">
        <v>4</v>
      </c>
    </row>
    <row r="113" spans="3:27" ht="45" x14ac:dyDescent="0.25">
      <c r="C113" s="1" t="str">
        <f>_xlfn.XLOOKUP(Tabla9[[#This Row],[PROGRAMA ORIGEN]],PROGRAMAS_N[PROGRAMAS ORIGEN],PROGRAMAS_N[NIVEL],"")</f>
        <v>TECNÓLOGO</v>
      </c>
      <c r="D113" s="16" t="s">
        <v>54</v>
      </c>
      <c r="E113" s="14">
        <v>250801009</v>
      </c>
      <c r="F113" s="10" t="s">
        <v>305</v>
      </c>
      <c r="G113" s="10" cm="1">
        <f t="array" ref="G113">+_xlfn.XLOOKUP(Tabla9[[#This Row],[ESPACIO ACADÉMICO DESTINO]]&amp;Tabla9[[#This Row],[PROGRAMA DESTINO]],Tabla49[ESPACIO ACADÉMICO DESTINO]&amp;Tabla49[PROGRAMA],Tabla49[CÓDIGO],"")</f>
        <v>50101</v>
      </c>
      <c r="H113" s="10" t="s">
        <v>308</v>
      </c>
      <c r="I113" s="14" cm="1">
        <f t="array" ref="I113">+_xlfn.XLOOKUP(Tabla9[[#This Row],[ESPACIO ACADÉMICO DESTINO]]&amp;Tabla9[[#This Row],[PROGRAMA DESTINO]],Tabla49[ESPACIO ACADÉMICO DESTINO]&amp;Tabla49[PROGRAMA],Tabla49[CRÉDITOS],"")</f>
        <v>2</v>
      </c>
      <c r="J113" s="14">
        <v>4.5</v>
      </c>
      <c r="K113" s="10" t="s">
        <v>80</v>
      </c>
      <c r="X113" s="52" t="s">
        <v>73</v>
      </c>
      <c r="Y113" s="1">
        <v>48274</v>
      </c>
      <c r="Z113" s="10" t="s">
        <v>309</v>
      </c>
      <c r="AA113" s="10">
        <v>3</v>
      </c>
    </row>
    <row r="114" spans="3:27" ht="45" x14ac:dyDescent="0.25">
      <c r="C114" s="1" t="str">
        <f>_xlfn.XLOOKUP(Tabla9[[#This Row],[PROGRAMA ORIGEN]],PROGRAMAS_N[PROGRAMAS ORIGEN],PROGRAMAS_N[NIVEL],"")</f>
        <v>TECNÓLOGO</v>
      </c>
      <c r="D114" s="16" t="s">
        <v>54</v>
      </c>
      <c r="E114" s="14">
        <v>250801009</v>
      </c>
      <c r="F114" s="10" t="s">
        <v>305</v>
      </c>
      <c r="G114" s="10" cm="1">
        <f t="array" ref="G114">+_xlfn.XLOOKUP(Tabla9[[#This Row],[ESPACIO ACADÉMICO DESTINO]]&amp;Tabla9[[#This Row],[PROGRAMA DESTINO]],Tabla49[ESPACIO ACADÉMICO DESTINO]&amp;Tabla49[PROGRAMA],Tabla49[CÓDIGO],"")</f>
        <v>50102</v>
      </c>
      <c r="H114" s="10" t="s">
        <v>310</v>
      </c>
      <c r="I114" s="14" cm="1">
        <f t="array" ref="I114">+_xlfn.XLOOKUP(Tabla9[[#This Row],[ESPACIO ACADÉMICO DESTINO]]&amp;Tabla9[[#This Row],[PROGRAMA DESTINO]],Tabla49[ESPACIO ACADÉMICO DESTINO]&amp;Tabla49[PROGRAMA],Tabla49[CRÉDITOS],"")</f>
        <v>2</v>
      </c>
      <c r="J114" s="14">
        <v>4.5</v>
      </c>
      <c r="K114" s="10" t="s">
        <v>80</v>
      </c>
      <c r="X114" s="52" t="s">
        <v>73</v>
      </c>
      <c r="Y114" s="10">
        <v>48170</v>
      </c>
      <c r="Z114" s="10" t="s">
        <v>311</v>
      </c>
      <c r="AA114" s="10">
        <v>3</v>
      </c>
    </row>
    <row r="115" spans="3:27" ht="45" x14ac:dyDescent="0.25">
      <c r="C115" s="1" t="str">
        <f>_xlfn.XLOOKUP(Tabla9[[#This Row],[PROGRAMA ORIGEN]],PROGRAMAS_N[PROGRAMAS ORIGEN],PROGRAMAS_N[NIVEL],"")</f>
        <v>TECNÓLOGO</v>
      </c>
      <c r="D115" s="16" t="s">
        <v>54</v>
      </c>
      <c r="E115" s="14">
        <v>250801009</v>
      </c>
      <c r="F115" s="10" t="s">
        <v>305</v>
      </c>
      <c r="G115" s="10" cm="1">
        <f t="array" ref="G115">+_xlfn.XLOOKUP(Tabla9[[#This Row],[ESPACIO ACADÉMICO DESTINO]]&amp;Tabla9[[#This Row],[PROGRAMA DESTINO]],Tabla49[ESPACIO ACADÉMICO DESTINO]&amp;Tabla49[PROGRAMA],Tabla49[CÓDIGO],"")</f>
        <v>50011</v>
      </c>
      <c r="H115" s="10" t="s">
        <v>312</v>
      </c>
      <c r="I115" s="14" cm="1">
        <f t="array" ref="I115">+_xlfn.XLOOKUP(Tabla9[[#This Row],[ESPACIO ACADÉMICO DESTINO]]&amp;Tabla9[[#This Row],[PROGRAMA DESTINO]],Tabla49[ESPACIO ACADÉMICO DESTINO]&amp;Tabla49[PROGRAMA],Tabla49[CRÉDITOS],"")</f>
        <v>2</v>
      </c>
      <c r="J115" s="14">
        <v>4.5</v>
      </c>
      <c r="K115" s="10" t="s">
        <v>80</v>
      </c>
      <c r="X115" s="52" t="s">
        <v>73</v>
      </c>
      <c r="Y115" s="10">
        <v>48171</v>
      </c>
      <c r="Z115" s="10" t="s">
        <v>313</v>
      </c>
      <c r="AA115" s="10">
        <v>3</v>
      </c>
    </row>
    <row r="116" spans="3:27" ht="45" x14ac:dyDescent="0.25">
      <c r="C116" s="1" t="str">
        <f>_xlfn.XLOOKUP(Tabla9[[#This Row],[PROGRAMA ORIGEN]],PROGRAMAS_N[PROGRAMAS ORIGEN],PROGRAMAS_N[NIVEL],"")</f>
        <v>TECNÓLOGO</v>
      </c>
      <c r="D116" s="16" t="s">
        <v>54</v>
      </c>
      <c r="E116" s="14">
        <v>250801009</v>
      </c>
      <c r="F116" s="10" t="s">
        <v>305</v>
      </c>
      <c r="G116" s="10" cm="1">
        <f t="array" ref="G116">+_xlfn.XLOOKUP(Tabla9[[#This Row],[ESPACIO ACADÉMICO DESTINO]]&amp;Tabla9[[#This Row],[PROGRAMA DESTINO]],Tabla49[ESPACIO ACADÉMICO DESTINO]&amp;Tabla49[PROGRAMA],Tabla49[CÓDIGO],"")</f>
        <v>50003</v>
      </c>
      <c r="H116" s="10" t="s">
        <v>314</v>
      </c>
      <c r="I116" s="14" cm="1">
        <f t="array" ref="I116">+_xlfn.XLOOKUP(Tabla9[[#This Row],[ESPACIO ACADÉMICO DESTINO]]&amp;Tabla9[[#This Row],[PROGRAMA DESTINO]],Tabla49[ESPACIO ACADÉMICO DESTINO]&amp;Tabla49[PROGRAMA],Tabla49[CRÉDITOS],"")</f>
        <v>2</v>
      </c>
      <c r="J116" s="14">
        <v>4.5</v>
      </c>
      <c r="K116" s="10" t="s">
        <v>80</v>
      </c>
      <c r="X116" s="52" t="s">
        <v>100</v>
      </c>
      <c r="Y116" s="10">
        <v>16320</v>
      </c>
      <c r="Z116" s="10" t="s">
        <v>315</v>
      </c>
      <c r="AA116" s="10">
        <v>2</v>
      </c>
    </row>
    <row r="117" spans="3:27" ht="45" x14ac:dyDescent="0.25">
      <c r="C117" s="1" t="str">
        <f>_xlfn.XLOOKUP(Tabla9[[#This Row],[PROGRAMA ORIGEN]],PROGRAMAS_N[PROGRAMAS ORIGEN],PROGRAMAS_N[NIVEL],"")</f>
        <v>TECNÓLOGO</v>
      </c>
      <c r="D117" s="16" t="s">
        <v>54</v>
      </c>
      <c r="E117" s="14">
        <v>250801009</v>
      </c>
      <c r="F117" s="10" t="s">
        <v>305</v>
      </c>
      <c r="G117" s="10" cm="1">
        <f t="array" ref="G117">+_xlfn.XLOOKUP(Tabla9[[#This Row],[ESPACIO ACADÉMICO DESTINO]]&amp;Tabla9[[#This Row],[PROGRAMA DESTINO]],Tabla49[ESPACIO ACADÉMICO DESTINO]&amp;Tabla49[PROGRAMA],Tabla49[CÓDIGO],"")</f>
        <v>50805</v>
      </c>
      <c r="H117" s="10" t="s">
        <v>316</v>
      </c>
      <c r="I117" s="14" cm="1">
        <f t="array" ref="I117">+_xlfn.XLOOKUP(Tabla9[[#This Row],[ESPACIO ACADÉMICO DESTINO]]&amp;Tabla9[[#This Row],[PROGRAMA DESTINO]],Tabla49[ESPACIO ACADÉMICO DESTINO]&amp;Tabla49[PROGRAMA],Tabla49[CRÉDITOS],"")</f>
        <v>3</v>
      </c>
      <c r="J117" s="14">
        <v>4.5</v>
      </c>
      <c r="K117" s="10" t="s">
        <v>80</v>
      </c>
      <c r="X117" s="52" t="s">
        <v>100</v>
      </c>
      <c r="Y117" s="10">
        <v>16570</v>
      </c>
      <c r="Z117" s="10" t="s">
        <v>66</v>
      </c>
      <c r="AA117" s="10">
        <v>2</v>
      </c>
    </row>
    <row r="118" spans="3:27" ht="45" x14ac:dyDescent="0.25">
      <c r="C118" s="1" t="str">
        <f>_xlfn.XLOOKUP(Tabla9[[#This Row],[PROGRAMA ORIGEN]],PROGRAMAS_N[PROGRAMAS ORIGEN],PROGRAMAS_N[NIVEL],"")</f>
        <v>TECNÓLOGO</v>
      </c>
      <c r="D118" s="16" t="s">
        <v>54</v>
      </c>
      <c r="E118" s="14">
        <v>230101013</v>
      </c>
      <c r="F118" s="10" t="s">
        <v>317</v>
      </c>
      <c r="G118" s="10" cm="1">
        <f t="array" ref="G118">+_xlfn.XLOOKUP(Tabla9[[#This Row],[ESPACIO ACADÉMICO DESTINO]]&amp;Tabla9[[#This Row],[PROGRAMA DESTINO]],Tabla49[ESPACIO ACADÉMICO DESTINO]&amp;Tabla49[PROGRAMA],Tabla49[CÓDIGO],"")</f>
        <v>50302</v>
      </c>
      <c r="H118" s="10" t="s">
        <v>318</v>
      </c>
      <c r="I118" s="14" cm="1">
        <f t="array" ref="I118">+_xlfn.XLOOKUP(Tabla9[[#This Row],[ESPACIO ACADÉMICO DESTINO]]&amp;Tabla9[[#This Row],[PROGRAMA DESTINO]],Tabla49[ESPACIO ACADÉMICO DESTINO]&amp;Tabla49[PROGRAMA],Tabla49[CRÉDITOS],"")</f>
        <v>2</v>
      </c>
      <c r="J118" s="14">
        <v>4.5</v>
      </c>
      <c r="K118" s="10" t="s">
        <v>80</v>
      </c>
      <c r="X118" s="52" t="s">
        <v>100</v>
      </c>
      <c r="Y118" s="10">
        <v>96134</v>
      </c>
      <c r="Z118" s="10" t="s">
        <v>319</v>
      </c>
      <c r="AA118" s="10">
        <v>3</v>
      </c>
    </row>
    <row r="119" spans="3:27" ht="45" x14ac:dyDescent="0.25">
      <c r="C119" s="1" t="str">
        <f>_xlfn.XLOOKUP(Tabla9[[#This Row],[PROGRAMA ORIGEN]],PROGRAMAS_N[PROGRAMAS ORIGEN],PROGRAMAS_N[NIVEL],"")</f>
        <v>TECNÓLOGO</v>
      </c>
      <c r="D119" s="16" t="s">
        <v>54</v>
      </c>
      <c r="E119" s="14">
        <v>250801009</v>
      </c>
      <c r="F119" s="10" t="s">
        <v>305</v>
      </c>
      <c r="G119" s="10" cm="1">
        <f t="array" ref="G119">+_xlfn.XLOOKUP(Tabla9[[#This Row],[ESPACIO ACADÉMICO DESTINO]]&amp;Tabla9[[#This Row],[PROGRAMA DESTINO]],Tabla49[ESPACIO ACADÉMICO DESTINO]&amp;Tabla49[PROGRAMA],Tabla49[CÓDIGO],"")</f>
        <v>50103</v>
      </c>
      <c r="H119" s="10" t="s">
        <v>320</v>
      </c>
      <c r="I119" s="14" cm="1">
        <f t="array" ref="I119">+_xlfn.XLOOKUP(Tabla9[[#This Row],[ESPACIO ACADÉMICO DESTINO]]&amp;Tabla9[[#This Row],[PROGRAMA DESTINO]],Tabla49[ESPACIO ACADÉMICO DESTINO]&amp;Tabla49[PROGRAMA],Tabla49[CRÉDITOS],"")</f>
        <v>2</v>
      </c>
      <c r="J119" s="14">
        <v>4.5</v>
      </c>
      <c r="K119" s="10" t="s">
        <v>80</v>
      </c>
      <c r="X119" s="52" t="s">
        <v>100</v>
      </c>
      <c r="Y119" s="1">
        <v>73418</v>
      </c>
      <c r="Z119" s="10" t="s">
        <v>321</v>
      </c>
      <c r="AA119" s="10">
        <v>3</v>
      </c>
    </row>
    <row r="120" spans="3:27" ht="45" x14ac:dyDescent="0.25">
      <c r="C120" s="1" t="str">
        <f>_xlfn.XLOOKUP(Tabla9[[#This Row],[PROGRAMA ORIGEN]],PROGRAMAS_N[PROGRAMAS ORIGEN],PROGRAMAS_N[NIVEL],"")</f>
        <v>TECNÓLOGO</v>
      </c>
      <c r="D120" s="16" t="s">
        <v>54</v>
      </c>
      <c r="E120" s="14">
        <v>250801009</v>
      </c>
      <c r="F120" s="10" t="s">
        <v>305</v>
      </c>
      <c r="G120" s="10" cm="1">
        <f t="array" ref="G120">+_xlfn.XLOOKUP(Tabla9[[#This Row],[ESPACIO ACADÉMICO DESTINO]]&amp;Tabla9[[#This Row],[PROGRAMA DESTINO]],Tabla49[ESPACIO ACADÉMICO DESTINO]&amp;Tabla49[PROGRAMA],Tabla49[CÓDIGO],"")</f>
        <v>50206</v>
      </c>
      <c r="H120" s="10" t="s">
        <v>322</v>
      </c>
      <c r="I120" s="14" cm="1">
        <f t="array" ref="I120">+_xlfn.XLOOKUP(Tabla9[[#This Row],[ESPACIO ACADÉMICO DESTINO]]&amp;Tabla9[[#This Row],[PROGRAMA DESTINO]],Tabla49[ESPACIO ACADÉMICO DESTINO]&amp;Tabla49[PROGRAMA],Tabla49[CRÉDITOS],"")</f>
        <v>2</v>
      </c>
      <c r="J120" s="14">
        <v>4.5</v>
      </c>
      <c r="K120" s="10" t="s">
        <v>80</v>
      </c>
      <c r="X120" s="52" t="s">
        <v>100</v>
      </c>
      <c r="Y120" s="1">
        <v>73419</v>
      </c>
      <c r="Z120" s="10" t="s">
        <v>323</v>
      </c>
      <c r="AA120" s="10">
        <v>3</v>
      </c>
    </row>
    <row r="121" spans="3:27" ht="45" x14ac:dyDescent="0.25">
      <c r="C121" s="1" t="str">
        <f>_xlfn.XLOOKUP(Tabla9[[#This Row],[PROGRAMA ORIGEN]],PROGRAMAS_N[PROGRAMAS ORIGEN],PROGRAMAS_N[NIVEL],"")</f>
        <v>TECNÓLOGO</v>
      </c>
      <c r="D121" s="16" t="s">
        <v>54</v>
      </c>
      <c r="E121" s="14">
        <v>250801009</v>
      </c>
      <c r="F121" s="10" t="s">
        <v>305</v>
      </c>
      <c r="G121" s="10" cm="1">
        <f t="array" ref="G121">+_xlfn.XLOOKUP(Tabla9[[#This Row],[ESPACIO ACADÉMICO DESTINO]]&amp;Tabla9[[#This Row],[PROGRAMA DESTINO]],Tabla49[ESPACIO ACADÉMICO DESTINO]&amp;Tabla49[PROGRAMA],Tabla49[CÓDIGO],"")</f>
        <v>50021</v>
      </c>
      <c r="H121" s="10" t="s">
        <v>324</v>
      </c>
      <c r="I121" s="14" cm="1">
        <f t="array" ref="I121">+_xlfn.XLOOKUP(Tabla9[[#This Row],[ESPACIO ACADÉMICO DESTINO]]&amp;Tabla9[[#This Row],[PROGRAMA DESTINO]],Tabla49[ESPACIO ACADÉMICO DESTINO]&amp;Tabla49[PROGRAMA],Tabla49[CRÉDITOS],"")</f>
        <v>3</v>
      </c>
      <c r="J121" s="14">
        <v>4.5</v>
      </c>
      <c r="K121" s="10" t="s">
        <v>80</v>
      </c>
      <c r="X121" s="52" t="s">
        <v>100</v>
      </c>
      <c r="Y121" s="10">
        <v>16869</v>
      </c>
      <c r="Z121" s="10" t="s">
        <v>325</v>
      </c>
      <c r="AA121" s="10">
        <v>3</v>
      </c>
    </row>
    <row r="122" spans="3:27" ht="45" x14ac:dyDescent="0.25">
      <c r="C122" s="1" t="str">
        <f>_xlfn.XLOOKUP(Tabla9[[#This Row],[PROGRAMA ORIGEN]],PROGRAMAS_N[PROGRAMAS ORIGEN],PROGRAMAS_N[NIVEL],"")</f>
        <v>TECNÓLOGO</v>
      </c>
      <c r="D122" s="16" t="s">
        <v>54</v>
      </c>
      <c r="E122" s="14">
        <v>250801009</v>
      </c>
      <c r="F122" s="10" t="s">
        <v>305</v>
      </c>
      <c r="G122" s="10" cm="1">
        <f t="array" ref="G122">+_xlfn.XLOOKUP(Tabla9[[#This Row],[ESPACIO ACADÉMICO DESTINO]]&amp;Tabla9[[#This Row],[PROGRAMA DESTINO]],Tabla49[ESPACIO ACADÉMICO DESTINO]&amp;Tabla49[PROGRAMA],Tabla49[CÓDIGO],"")</f>
        <v>50004</v>
      </c>
      <c r="H122" s="10" t="s">
        <v>326</v>
      </c>
      <c r="I122" s="14" cm="1">
        <f t="array" ref="I122">+_xlfn.XLOOKUP(Tabla9[[#This Row],[ESPACIO ACADÉMICO DESTINO]]&amp;Tabla9[[#This Row],[PROGRAMA DESTINO]],Tabla49[ESPACIO ACADÉMICO DESTINO]&amp;Tabla49[PROGRAMA],Tabla49[CRÉDITOS],"")</f>
        <v>2</v>
      </c>
      <c r="J122" s="14">
        <v>4.5</v>
      </c>
      <c r="K122" s="10" t="s">
        <v>80</v>
      </c>
      <c r="X122" s="52" t="s">
        <v>100</v>
      </c>
      <c r="Y122" s="8">
        <v>16323</v>
      </c>
      <c r="Z122" s="8" t="s">
        <v>101</v>
      </c>
      <c r="AA122" s="8">
        <v>3</v>
      </c>
    </row>
    <row r="123" spans="3:27" ht="45" x14ac:dyDescent="0.25">
      <c r="C123" s="1" t="str">
        <f>_xlfn.XLOOKUP(Tabla9[[#This Row],[PROGRAMA ORIGEN]],PROGRAMAS_N[PROGRAMAS ORIGEN],PROGRAMAS_N[NIVEL],"")</f>
        <v>TECNÓLOGO</v>
      </c>
      <c r="D123" s="16" t="s">
        <v>63</v>
      </c>
      <c r="E123" s="14">
        <v>240201529</v>
      </c>
      <c r="F123" s="10" t="s">
        <v>327</v>
      </c>
      <c r="G123" s="10" cm="1">
        <f t="array" ref="G123">+_xlfn.XLOOKUP(Tabla9[[#This Row],[ESPACIO ACADÉMICO DESTINO]]&amp;Tabla9[[#This Row],[PROGRAMA DESTINO]],Tabla49[ESPACIO ACADÉMICO DESTINO]&amp;Tabla49[PROGRAMA],Tabla49[CÓDIGO],"")</f>
        <v>50206</v>
      </c>
      <c r="H123" s="10" t="s">
        <v>322</v>
      </c>
      <c r="I123" s="14" cm="1">
        <f t="array" ref="I123">+_xlfn.XLOOKUP(Tabla9[[#This Row],[ESPACIO ACADÉMICO DESTINO]]&amp;Tabla9[[#This Row],[PROGRAMA DESTINO]],Tabla49[ESPACIO ACADÉMICO DESTINO]&amp;Tabla49[PROGRAMA],Tabla49[CRÉDITOS],"")</f>
        <v>2</v>
      </c>
      <c r="J123" s="14">
        <v>4.5</v>
      </c>
      <c r="K123" s="10" t="s">
        <v>80</v>
      </c>
      <c r="X123" s="52" t="s">
        <v>100</v>
      </c>
      <c r="Y123" s="10">
        <v>73421</v>
      </c>
      <c r="Z123" s="10" t="s">
        <v>328</v>
      </c>
      <c r="AA123" s="10">
        <v>3</v>
      </c>
    </row>
    <row r="124" spans="3:27" ht="45" x14ac:dyDescent="0.25">
      <c r="C124" s="1" t="str">
        <f>_xlfn.XLOOKUP(Tabla9[[#This Row],[PROGRAMA ORIGEN]],PROGRAMAS_N[PROGRAMAS ORIGEN],PROGRAMAS_N[NIVEL],"")</f>
        <v>TECNÓLOGO</v>
      </c>
      <c r="D124" s="16" t="s">
        <v>63</v>
      </c>
      <c r="E124" s="14">
        <v>250801034</v>
      </c>
      <c r="F124" s="10" t="s">
        <v>329</v>
      </c>
      <c r="G124" s="10" cm="1">
        <f t="array" ref="G124">+_xlfn.XLOOKUP(Tabla9[[#This Row],[ESPACIO ACADÉMICO DESTINO]]&amp;Tabla9[[#This Row],[PROGRAMA DESTINO]],Tabla49[ESPACIO ACADÉMICO DESTINO]&amp;Tabla49[PROGRAMA],Tabla49[CÓDIGO],"")</f>
        <v>50016</v>
      </c>
      <c r="H124" s="10" t="s">
        <v>330</v>
      </c>
      <c r="I124" s="14" cm="1">
        <f t="array" ref="I124">+_xlfn.XLOOKUP(Tabla9[[#This Row],[ESPACIO ACADÉMICO DESTINO]]&amp;Tabla9[[#This Row],[PROGRAMA DESTINO]],Tabla49[ESPACIO ACADÉMICO DESTINO]&amp;Tabla49[PROGRAMA],Tabla49[CRÉDITOS],"")</f>
        <v>2</v>
      </c>
      <c r="J124" s="14">
        <v>4.5</v>
      </c>
      <c r="K124" s="10" t="s">
        <v>80</v>
      </c>
      <c r="X124" s="52" t="s">
        <v>100</v>
      </c>
      <c r="Y124" s="10">
        <v>16571</v>
      </c>
      <c r="Z124" s="10" t="s">
        <v>108</v>
      </c>
      <c r="AA124" s="10">
        <v>2</v>
      </c>
    </row>
    <row r="125" spans="3:27" ht="45" x14ac:dyDescent="0.25">
      <c r="C125" s="1" t="str">
        <f>_xlfn.XLOOKUP(Tabla9[[#This Row],[PROGRAMA ORIGEN]],PROGRAMAS_N[PROGRAMAS ORIGEN],PROGRAMAS_N[NIVEL],"")</f>
        <v>TECNÓLOGO</v>
      </c>
      <c r="D125" s="16" t="s">
        <v>63</v>
      </c>
      <c r="E125" s="14">
        <v>230101013</v>
      </c>
      <c r="F125" s="10" t="s">
        <v>317</v>
      </c>
      <c r="G125" s="10" cm="1">
        <f t="array" ref="G125">+_xlfn.XLOOKUP(Tabla9[[#This Row],[ESPACIO ACADÉMICO DESTINO]]&amp;Tabla9[[#This Row],[PROGRAMA DESTINO]],Tabla49[ESPACIO ACADÉMICO DESTINO]&amp;Tabla49[PROGRAMA],Tabla49[CÓDIGO],"")</f>
        <v>50302</v>
      </c>
      <c r="H125" s="10" t="s">
        <v>318</v>
      </c>
      <c r="I125" s="14" cm="1">
        <f t="array" ref="I125">+_xlfn.XLOOKUP(Tabla9[[#This Row],[ESPACIO ACADÉMICO DESTINO]]&amp;Tabla9[[#This Row],[PROGRAMA DESTINO]],Tabla49[ESPACIO ACADÉMICO DESTINO]&amp;Tabla49[PROGRAMA],Tabla49[CRÉDITOS],"")</f>
        <v>2</v>
      </c>
      <c r="J125" s="14">
        <v>4.5</v>
      </c>
      <c r="K125" s="10" t="s">
        <v>80</v>
      </c>
      <c r="X125" s="52" t="s">
        <v>100</v>
      </c>
      <c r="Y125" s="1">
        <v>96110</v>
      </c>
      <c r="Z125" s="10" t="s">
        <v>331</v>
      </c>
      <c r="AA125" s="10">
        <v>3</v>
      </c>
    </row>
    <row r="126" spans="3:27" ht="45" x14ac:dyDescent="0.25">
      <c r="C126" s="1" t="str">
        <f>_xlfn.XLOOKUP(Tabla9[[#This Row],[PROGRAMA ORIGEN]],PROGRAMAS_N[PROGRAMAS ORIGEN],PROGRAMAS_N[NIVEL],"")</f>
        <v>TECNÓLOGO</v>
      </c>
      <c r="D126" s="16" t="s">
        <v>63</v>
      </c>
      <c r="E126" s="14">
        <v>250801029</v>
      </c>
      <c r="F126" s="10" t="s">
        <v>332</v>
      </c>
      <c r="G126" s="10" cm="1">
        <f t="array" ref="G126">+_xlfn.XLOOKUP(Tabla9[[#This Row],[ESPACIO ACADÉMICO DESTINO]]&amp;Tabla9[[#This Row],[PROGRAMA DESTINO]],Tabla49[ESPACIO ACADÉMICO DESTINO]&amp;Tabla49[PROGRAMA],Tabla49[CÓDIGO],"")</f>
        <v>50205</v>
      </c>
      <c r="H126" s="10" t="s">
        <v>306</v>
      </c>
      <c r="I126" s="14" cm="1">
        <f t="array" ref="I126">+_xlfn.XLOOKUP(Tabla9[[#This Row],[ESPACIO ACADÉMICO DESTINO]]&amp;Tabla9[[#This Row],[PROGRAMA DESTINO]],Tabla49[ESPACIO ACADÉMICO DESTINO]&amp;Tabla49[PROGRAMA],Tabla49[CRÉDITOS],"")</f>
        <v>2</v>
      </c>
      <c r="J126" s="14">
        <v>4.5</v>
      </c>
      <c r="K126" s="10" t="s">
        <v>80</v>
      </c>
      <c r="X126" s="52" t="s">
        <v>100</v>
      </c>
      <c r="Y126" s="10">
        <v>96111</v>
      </c>
      <c r="Z126" s="10" t="s">
        <v>333</v>
      </c>
      <c r="AA126" s="10">
        <v>3</v>
      </c>
    </row>
    <row r="127" spans="3:27" ht="45" x14ac:dyDescent="0.25">
      <c r="C127" s="1" t="str">
        <f>_xlfn.XLOOKUP(Tabla9[[#This Row],[PROGRAMA ORIGEN]],PROGRAMAS_N[PROGRAMAS ORIGEN],PROGRAMAS_N[NIVEL],"")</f>
        <v>TECNÓLOGO</v>
      </c>
      <c r="D127" s="16" t="s">
        <v>63</v>
      </c>
      <c r="E127" s="14">
        <v>250801029</v>
      </c>
      <c r="F127" s="10" t="s">
        <v>332</v>
      </c>
      <c r="G127" s="10" cm="1">
        <f t="array" ref="G127">+_xlfn.XLOOKUP(Tabla9[[#This Row],[ESPACIO ACADÉMICO DESTINO]]&amp;Tabla9[[#This Row],[PROGRAMA DESTINO]],Tabla49[ESPACIO ACADÉMICO DESTINO]&amp;Tabla49[PROGRAMA],Tabla49[CÓDIGO],"")</f>
        <v>50101</v>
      </c>
      <c r="H127" s="10" t="s">
        <v>308</v>
      </c>
      <c r="I127" s="14" cm="1">
        <f t="array" ref="I127">+_xlfn.XLOOKUP(Tabla9[[#This Row],[ESPACIO ACADÉMICO DESTINO]]&amp;Tabla9[[#This Row],[PROGRAMA DESTINO]],Tabla49[ESPACIO ACADÉMICO DESTINO]&amp;Tabla49[PROGRAMA],Tabla49[CRÉDITOS],"")</f>
        <v>2</v>
      </c>
      <c r="J127" s="14">
        <v>4.5</v>
      </c>
      <c r="K127" s="10" t="s">
        <v>80</v>
      </c>
      <c r="X127" s="52" t="s">
        <v>100</v>
      </c>
      <c r="Y127" s="10">
        <v>15135</v>
      </c>
      <c r="Z127" s="10" t="s">
        <v>56</v>
      </c>
      <c r="AA127" s="10">
        <v>2</v>
      </c>
    </row>
    <row r="128" spans="3:27" ht="45" x14ac:dyDescent="0.25">
      <c r="C128" s="1" t="str">
        <f>_xlfn.XLOOKUP(Tabla9[[#This Row],[PROGRAMA ORIGEN]],PROGRAMAS_N[PROGRAMAS ORIGEN],PROGRAMAS_N[NIVEL],"")</f>
        <v>TECNÓLOGO</v>
      </c>
      <c r="D128" s="16" t="s">
        <v>63</v>
      </c>
      <c r="E128" s="14">
        <v>250801029</v>
      </c>
      <c r="F128" s="10" t="s">
        <v>332</v>
      </c>
      <c r="G128" s="10" cm="1">
        <f t="array" ref="G128">+_xlfn.XLOOKUP(Tabla9[[#This Row],[ESPACIO ACADÉMICO DESTINO]]&amp;Tabla9[[#This Row],[PROGRAMA DESTINO]],Tabla49[ESPACIO ACADÉMICO DESTINO]&amp;Tabla49[PROGRAMA],Tabla49[CÓDIGO],"")</f>
        <v>50102</v>
      </c>
      <c r="H128" s="10" t="s">
        <v>310</v>
      </c>
      <c r="I128" s="14" cm="1">
        <f t="array" ref="I128">+_xlfn.XLOOKUP(Tabla9[[#This Row],[ESPACIO ACADÉMICO DESTINO]]&amp;Tabla9[[#This Row],[PROGRAMA DESTINO]],Tabla49[ESPACIO ACADÉMICO DESTINO]&amp;Tabla49[PROGRAMA],Tabla49[CRÉDITOS],"")</f>
        <v>2</v>
      </c>
      <c r="J128" s="14">
        <v>4.5</v>
      </c>
      <c r="K128" s="10" t="s">
        <v>80</v>
      </c>
      <c r="X128" s="52" t="s">
        <v>100</v>
      </c>
      <c r="Y128" s="8">
        <v>73420</v>
      </c>
      <c r="Z128" s="8" t="s">
        <v>334</v>
      </c>
      <c r="AA128" s="8">
        <v>3</v>
      </c>
    </row>
    <row r="129" spans="3:27" ht="45" x14ac:dyDescent="0.25">
      <c r="C129" s="1" t="str">
        <f>_xlfn.XLOOKUP(Tabla9[[#This Row],[PROGRAMA ORIGEN]],PROGRAMAS_N[PROGRAMAS ORIGEN],PROGRAMAS_N[NIVEL],"")</f>
        <v>TECNÓLOGO</v>
      </c>
      <c r="D129" s="16" t="s">
        <v>63</v>
      </c>
      <c r="E129" s="14">
        <v>230101013</v>
      </c>
      <c r="F129" s="10" t="s">
        <v>332</v>
      </c>
      <c r="G129" s="10" cm="1">
        <f t="array" ref="G129">+_xlfn.XLOOKUP(Tabla9[[#This Row],[ESPACIO ACADÉMICO DESTINO]]&amp;Tabla9[[#This Row],[PROGRAMA DESTINO]],Tabla49[ESPACIO ACADÉMICO DESTINO]&amp;Tabla49[PROGRAMA],Tabla49[CÓDIGO],"")</f>
        <v>50021</v>
      </c>
      <c r="H129" s="10" t="s">
        <v>324</v>
      </c>
      <c r="I129" s="14" cm="1">
        <f t="array" ref="I129">+_xlfn.XLOOKUP(Tabla9[[#This Row],[ESPACIO ACADÉMICO DESTINO]]&amp;Tabla9[[#This Row],[PROGRAMA DESTINO]],Tabla49[ESPACIO ACADÉMICO DESTINO]&amp;Tabla49[PROGRAMA],Tabla49[CRÉDITOS],"")</f>
        <v>3</v>
      </c>
      <c r="J129" s="14">
        <v>4.5</v>
      </c>
      <c r="K129" s="10" t="s">
        <v>80</v>
      </c>
      <c r="X129" s="52" t="s">
        <v>100</v>
      </c>
      <c r="Y129" s="8">
        <v>95109</v>
      </c>
      <c r="Z129" s="8" t="s">
        <v>136</v>
      </c>
      <c r="AA129" s="8">
        <v>3</v>
      </c>
    </row>
    <row r="130" spans="3:27" ht="45" x14ac:dyDescent="0.25">
      <c r="C130" s="1" t="str">
        <f>_xlfn.XLOOKUP(Tabla9[[#This Row],[PROGRAMA ORIGEN]],PROGRAMAS_N[PROGRAMAS ORIGEN],PROGRAMAS_N[NIVEL],"")</f>
        <v>TECNÓLOGO</v>
      </c>
      <c r="D130" s="16" t="s">
        <v>63</v>
      </c>
      <c r="E130" s="14">
        <v>230101013</v>
      </c>
      <c r="F130" s="10" t="s">
        <v>332</v>
      </c>
      <c r="G130" s="10" cm="1">
        <f t="array" ref="G130">+_xlfn.XLOOKUP(Tabla9[[#This Row],[ESPACIO ACADÉMICO DESTINO]]&amp;Tabla9[[#This Row],[PROGRAMA DESTINO]],Tabla49[ESPACIO ACADÉMICO DESTINO]&amp;Tabla49[PROGRAMA],Tabla49[CÓDIGO],"")</f>
        <v>50805</v>
      </c>
      <c r="H130" s="10" t="s">
        <v>316</v>
      </c>
      <c r="I130" s="14" cm="1">
        <f t="array" ref="I130">+_xlfn.XLOOKUP(Tabla9[[#This Row],[ESPACIO ACADÉMICO DESTINO]]&amp;Tabla9[[#This Row],[PROGRAMA DESTINO]],Tabla49[ESPACIO ACADÉMICO DESTINO]&amp;Tabla49[PROGRAMA],Tabla49[CRÉDITOS],"")</f>
        <v>3</v>
      </c>
      <c r="J130" s="14">
        <v>4.5</v>
      </c>
      <c r="K130" s="10" t="s">
        <v>80</v>
      </c>
      <c r="X130" s="52" t="s">
        <v>100</v>
      </c>
      <c r="Y130" s="8">
        <v>16572</v>
      </c>
      <c r="Z130" s="8" t="s">
        <v>139</v>
      </c>
      <c r="AA130" s="8">
        <v>2</v>
      </c>
    </row>
    <row r="131" spans="3:27" ht="45" x14ac:dyDescent="0.25">
      <c r="C131" s="1" t="str">
        <f>_xlfn.XLOOKUP(Tabla9[[#This Row],[PROGRAMA ORIGEN]],PROGRAMAS_N[PROGRAMAS ORIGEN],PROGRAMAS_N[NIVEL],"")</f>
        <v>TECNÓLOGO</v>
      </c>
      <c r="D131" s="16" t="s">
        <v>63</v>
      </c>
      <c r="E131" s="14">
        <v>230101507</v>
      </c>
      <c r="F131" s="10" t="s">
        <v>335</v>
      </c>
      <c r="G131" s="10" cm="1">
        <f t="array" ref="G131">+_xlfn.XLOOKUP(Tabla9[[#This Row],[ESPACIO ACADÉMICO DESTINO]]&amp;Tabla9[[#This Row],[PROGRAMA DESTINO]],Tabla49[ESPACIO ACADÉMICO DESTINO]&amp;Tabla49[PROGRAMA],Tabla49[CÓDIGO],"")</f>
        <v>50183</v>
      </c>
      <c r="H131" s="10" t="s">
        <v>336</v>
      </c>
      <c r="I131" s="14" cm="1">
        <f t="array" ref="I131">+_xlfn.XLOOKUP(Tabla9[[#This Row],[ESPACIO ACADÉMICO DESTINO]]&amp;Tabla9[[#This Row],[PROGRAMA DESTINO]],Tabla49[ESPACIO ACADÉMICO DESTINO]&amp;Tabla49[PROGRAMA],Tabla49[CRÉDITOS],"")</f>
        <v>3</v>
      </c>
      <c r="J131" s="14">
        <v>4.5</v>
      </c>
      <c r="K131" s="10" t="s">
        <v>80</v>
      </c>
      <c r="X131" s="52" t="s">
        <v>100</v>
      </c>
      <c r="Y131" s="8">
        <v>96113</v>
      </c>
      <c r="Z131" s="8" t="s">
        <v>337</v>
      </c>
      <c r="AA131" s="8">
        <v>3</v>
      </c>
    </row>
    <row r="132" spans="3:27" ht="45" x14ac:dyDescent="0.25">
      <c r="C132" s="1" t="str">
        <f>_xlfn.XLOOKUP(Tabla9[[#This Row],[PROGRAMA ORIGEN]],PROGRAMAS_N[PROGRAMAS ORIGEN],PROGRAMAS_N[NIVEL],"")</f>
        <v>TECNÓLOGO</v>
      </c>
      <c r="D132" s="16" t="s">
        <v>63</v>
      </c>
      <c r="E132" s="14">
        <v>210201501</v>
      </c>
      <c r="F132" s="10" t="s">
        <v>338</v>
      </c>
      <c r="G132" s="10" cm="1">
        <f t="array" ref="G132">+_xlfn.XLOOKUP(Tabla9[[#This Row],[ESPACIO ACADÉMICO DESTINO]]&amp;Tabla9[[#This Row],[PROGRAMA DESTINO]],Tabla49[ESPACIO ACADÉMICO DESTINO]&amp;Tabla49[PROGRAMA],Tabla49[CÓDIGO],"")</f>
        <v>50145</v>
      </c>
      <c r="H132" s="10" t="s">
        <v>339</v>
      </c>
      <c r="I132" s="14" cm="1">
        <f t="array" ref="I132">+_xlfn.XLOOKUP(Tabla9[[#This Row],[ESPACIO ACADÉMICO DESTINO]]&amp;Tabla9[[#This Row],[PROGRAMA DESTINO]],Tabla49[ESPACIO ACADÉMICO DESTINO]&amp;Tabla49[PROGRAMA],Tabla49[CRÉDITOS],"")</f>
        <v>2</v>
      </c>
      <c r="J132" s="14">
        <v>4.5</v>
      </c>
      <c r="K132" s="10" t="s">
        <v>80</v>
      </c>
      <c r="X132" s="52" t="s">
        <v>100</v>
      </c>
      <c r="Y132" s="8">
        <v>96112</v>
      </c>
      <c r="Z132" s="8" t="s">
        <v>235</v>
      </c>
      <c r="AA132" s="8">
        <v>3</v>
      </c>
    </row>
    <row r="133" spans="3:27" ht="45" x14ac:dyDescent="0.25">
      <c r="C133" s="1" t="str">
        <f>_xlfn.XLOOKUP(Tabla9[[#This Row],[PROGRAMA ORIGEN]],PROGRAMAS_N[PROGRAMAS ORIGEN],PROGRAMAS_N[NIVEL],"")</f>
        <v>TECNÓLOGO</v>
      </c>
      <c r="D133" s="16" t="s">
        <v>131</v>
      </c>
      <c r="E133" s="14">
        <v>250801011</v>
      </c>
      <c r="F133" s="10" t="s">
        <v>340</v>
      </c>
      <c r="G133" s="10" cm="1">
        <f t="array" ref="G133">+_xlfn.XLOOKUP(Tabla9[[#This Row],[ESPACIO ACADÉMICO DESTINO]]&amp;Tabla9[[#This Row],[PROGRAMA DESTINO]],Tabla49[ESPACIO ACADÉMICO DESTINO]&amp;Tabla49[PROGRAMA],Tabla49[CÓDIGO],"")</f>
        <v>50205</v>
      </c>
      <c r="H133" s="10" t="s">
        <v>306</v>
      </c>
      <c r="I133" s="14" cm="1">
        <f t="array" ref="I133">+_xlfn.XLOOKUP(Tabla9[[#This Row],[ESPACIO ACADÉMICO DESTINO]]&amp;Tabla9[[#This Row],[PROGRAMA DESTINO]],Tabla49[ESPACIO ACADÉMICO DESTINO]&amp;Tabla49[PROGRAMA],Tabla49[CRÉDITOS],"")</f>
        <v>2</v>
      </c>
      <c r="J133" s="14">
        <v>4.5</v>
      </c>
      <c r="K133" s="10" t="s">
        <v>80</v>
      </c>
      <c r="X133" s="52" t="s">
        <v>100</v>
      </c>
      <c r="Y133" s="10">
        <v>16881</v>
      </c>
      <c r="Z133" s="8" t="s">
        <v>341</v>
      </c>
      <c r="AA133" s="8">
        <v>3</v>
      </c>
    </row>
    <row r="134" spans="3:27" ht="45" x14ac:dyDescent="0.25">
      <c r="C134" s="1" t="str">
        <f>_xlfn.XLOOKUP(Tabla9[[#This Row],[PROGRAMA ORIGEN]],PROGRAMAS_N[PROGRAMAS ORIGEN],PROGRAMAS_N[NIVEL],"")</f>
        <v>TECNÓLOGO</v>
      </c>
      <c r="D134" s="16" t="s">
        <v>131</v>
      </c>
      <c r="E134" s="14">
        <v>250801011</v>
      </c>
      <c r="F134" s="10" t="s">
        <v>340</v>
      </c>
      <c r="G134" s="10" cm="1">
        <f t="array" ref="G134">+_xlfn.XLOOKUP(Tabla9[[#This Row],[ESPACIO ACADÉMICO DESTINO]]&amp;Tabla9[[#This Row],[PROGRAMA DESTINO]],Tabla49[ESPACIO ACADÉMICO DESTINO]&amp;Tabla49[PROGRAMA],Tabla49[CÓDIGO],"")</f>
        <v>50101</v>
      </c>
      <c r="H134" s="10" t="s">
        <v>308</v>
      </c>
      <c r="I134" s="14" cm="1">
        <f t="array" ref="I134">+_xlfn.XLOOKUP(Tabla9[[#This Row],[ESPACIO ACADÉMICO DESTINO]]&amp;Tabla9[[#This Row],[PROGRAMA DESTINO]],Tabla49[ESPACIO ACADÉMICO DESTINO]&amp;Tabla49[PROGRAMA],Tabla49[CRÉDITOS],"")</f>
        <v>2</v>
      </c>
      <c r="J134" s="14">
        <v>4.5</v>
      </c>
      <c r="K134" s="10" t="s">
        <v>80</v>
      </c>
      <c r="X134" s="52" t="s">
        <v>100</v>
      </c>
      <c r="Y134" s="8">
        <v>73424</v>
      </c>
      <c r="Z134" s="8" t="s">
        <v>342</v>
      </c>
      <c r="AA134" s="8">
        <v>3</v>
      </c>
    </row>
    <row r="135" spans="3:27" ht="45" x14ac:dyDescent="0.25">
      <c r="C135" s="1" t="str">
        <f>_xlfn.XLOOKUP(Tabla9[[#This Row],[PROGRAMA ORIGEN]],PROGRAMAS_N[PROGRAMAS ORIGEN],PROGRAMAS_N[NIVEL],"")</f>
        <v>TECNÓLOGO</v>
      </c>
      <c r="D135" s="16" t="s">
        <v>131</v>
      </c>
      <c r="E135" s="14">
        <v>250801011</v>
      </c>
      <c r="F135" s="10" t="s">
        <v>340</v>
      </c>
      <c r="G135" s="10" cm="1">
        <f t="array" ref="G135">+_xlfn.XLOOKUP(Tabla9[[#This Row],[ESPACIO ACADÉMICO DESTINO]]&amp;Tabla9[[#This Row],[PROGRAMA DESTINO]],Tabla49[ESPACIO ACADÉMICO DESTINO]&amp;Tabla49[PROGRAMA],Tabla49[CÓDIGO],"")</f>
        <v>50007</v>
      </c>
      <c r="H135" s="10" t="s">
        <v>343</v>
      </c>
      <c r="I135" s="14" cm="1">
        <f t="array" ref="I135">+_xlfn.XLOOKUP(Tabla9[[#This Row],[ESPACIO ACADÉMICO DESTINO]]&amp;Tabla9[[#This Row],[PROGRAMA DESTINO]],Tabla49[ESPACIO ACADÉMICO DESTINO]&amp;Tabla49[PROGRAMA],Tabla49[CRÉDITOS],"")</f>
        <v>3</v>
      </c>
      <c r="J135" s="14">
        <v>4.5</v>
      </c>
      <c r="K135" s="10" t="s">
        <v>80</v>
      </c>
      <c r="X135" s="52" t="s">
        <v>100</v>
      </c>
      <c r="Y135" s="10">
        <v>16821</v>
      </c>
      <c r="Z135" s="10" t="s">
        <v>344</v>
      </c>
      <c r="AA135" s="10">
        <v>3</v>
      </c>
    </row>
    <row r="136" spans="3:27" ht="45" x14ac:dyDescent="0.25">
      <c r="C136" s="1" t="str">
        <f>_xlfn.XLOOKUP(Tabla9[[#This Row],[PROGRAMA ORIGEN]],PROGRAMAS_N[PROGRAMAS ORIGEN],PROGRAMAS_N[NIVEL],"")</f>
        <v>TECNÓLOGO</v>
      </c>
      <c r="D136" s="16" t="s">
        <v>131</v>
      </c>
      <c r="E136" s="14">
        <v>250801011</v>
      </c>
      <c r="F136" s="10" t="s">
        <v>340</v>
      </c>
      <c r="G136" s="10" cm="1">
        <f t="array" ref="G136">+_xlfn.XLOOKUP(Tabla9[[#This Row],[ESPACIO ACADÉMICO DESTINO]]&amp;Tabla9[[#This Row],[PROGRAMA DESTINO]],Tabla49[ESPACIO ACADÉMICO DESTINO]&amp;Tabla49[PROGRAMA],Tabla49[CÓDIGO],"")</f>
        <v>50102</v>
      </c>
      <c r="H136" s="10" t="s">
        <v>310</v>
      </c>
      <c r="I136" s="14" cm="1">
        <f t="array" ref="I136">+_xlfn.XLOOKUP(Tabla9[[#This Row],[ESPACIO ACADÉMICO DESTINO]]&amp;Tabla9[[#This Row],[PROGRAMA DESTINO]],Tabla49[ESPACIO ACADÉMICO DESTINO]&amp;Tabla49[PROGRAMA],Tabla49[CRÉDITOS],"")</f>
        <v>2</v>
      </c>
      <c r="J136" s="14">
        <v>4.5</v>
      </c>
      <c r="K136" s="10" t="s">
        <v>80</v>
      </c>
      <c r="X136" s="52" t="s">
        <v>100</v>
      </c>
      <c r="Y136" s="10">
        <v>96115</v>
      </c>
      <c r="Z136" s="10" t="s">
        <v>345</v>
      </c>
      <c r="AA136" s="10">
        <v>3</v>
      </c>
    </row>
    <row r="137" spans="3:27" ht="45" x14ac:dyDescent="0.25">
      <c r="C137" s="1" t="str">
        <f>_xlfn.XLOOKUP(Tabla9[[#This Row],[PROGRAMA ORIGEN]],PROGRAMAS_N[PROGRAMAS ORIGEN],PROGRAMAS_N[NIVEL],"")</f>
        <v>TECNÓLOGO</v>
      </c>
      <c r="D137" s="16" t="s">
        <v>131</v>
      </c>
      <c r="E137" s="14">
        <v>250801012</v>
      </c>
      <c r="F137" s="10" t="s">
        <v>346</v>
      </c>
      <c r="G137" s="10" cm="1">
        <f t="array" ref="G137">+_xlfn.XLOOKUP(Tabla9[[#This Row],[ESPACIO ACADÉMICO DESTINO]]&amp;Tabla9[[#This Row],[PROGRAMA DESTINO]],Tabla49[ESPACIO ACADÉMICO DESTINO]&amp;Tabla49[PROGRAMA],Tabla49[CÓDIGO],"")</f>
        <v>50805</v>
      </c>
      <c r="H137" s="10" t="s">
        <v>316</v>
      </c>
      <c r="I137" s="14" cm="1">
        <f t="array" ref="I137">+_xlfn.XLOOKUP(Tabla9[[#This Row],[ESPACIO ACADÉMICO DESTINO]]&amp;Tabla9[[#This Row],[PROGRAMA DESTINO]],Tabla49[ESPACIO ACADÉMICO DESTINO]&amp;Tabla49[PROGRAMA],Tabla49[CRÉDITOS],"")</f>
        <v>3</v>
      </c>
      <c r="J137" s="14">
        <v>4.5</v>
      </c>
      <c r="K137" s="10" t="s">
        <v>80</v>
      </c>
      <c r="X137" s="52" t="s">
        <v>100</v>
      </c>
      <c r="Y137" s="10">
        <v>16573</v>
      </c>
      <c r="Z137" s="10" t="s">
        <v>163</v>
      </c>
      <c r="AA137" s="10">
        <v>2</v>
      </c>
    </row>
    <row r="138" spans="3:27" ht="45" x14ac:dyDescent="0.25">
      <c r="C138" s="1" t="str">
        <f>_xlfn.XLOOKUP(Tabla9[[#This Row],[PROGRAMA ORIGEN]],PROGRAMAS_N[PROGRAMAS ORIGEN],PROGRAMAS_N[NIVEL],"")</f>
        <v>TECNÓLOGO</v>
      </c>
      <c r="D138" s="16" t="s">
        <v>131</v>
      </c>
      <c r="E138" s="14">
        <v>230101013</v>
      </c>
      <c r="F138" s="10" t="s">
        <v>317</v>
      </c>
      <c r="G138" s="10" cm="1">
        <f t="array" ref="G138">+_xlfn.XLOOKUP(Tabla9[[#This Row],[ESPACIO ACADÉMICO DESTINO]]&amp;Tabla9[[#This Row],[PROGRAMA DESTINO]],Tabla49[ESPACIO ACADÉMICO DESTINO]&amp;Tabla49[PROGRAMA],Tabla49[CÓDIGO],"")</f>
        <v>50302</v>
      </c>
      <c r="H138" s="10" t="s">
        <v>318</v>
      </c>
      <c r="I138" s="14" cm="1">
        <f t="array" ref="I138">+_xlfn.XLOOKUP(Tabla9[[#This Row],[ESPACIO ACADÉMICO DESTINO]]&amp;Tabla9[[#This Row],[PROGRAMA DESTINO]],Tabla49[ESPACIO ACADÉMICO DESTINO]&amp;Tabla49[PROGRAMA],Tabla49[CRÉDITOS],"")</f>
        <v>2</v>
      </c>
      <c r="J138" s="14">
        <v>4.5</v>
      </c>
      <c r="K138" s="10" t="s">
        <v>80</v>
      </c>
      <c r="X138" s="52" t="s">
        <v>100</v>
      </c>
      <c r="Y138" s="10">
        <v>73658</v>
      </c>
      <c r="Z138" s="10" t="s">
        <v>347</v>
      </c>
      <c r="AA138" s="10">
        <v>3</v>
      </c>
    </row>
    <row r="139" spans="3:27" ht="45" x14ac:dyDescent="0.25">
      <c r="C139" s="1" t="str">
        <f>_xlfn.XLOOKUP(Tabla9[[#This Row],[PROGRAMA ORIGEN]],PROGRAMAS_N[PROGRAMAS ORIGEN],PROGRAMAS_N[NIVEL],"")</f>
        <v>TECNÓLOGO</v>
      </c>
      <c r="D139" s="16" t="s">
        <v>131</v>
      </c>
      <c r="E139" s="14">
        <v>250801012</v>
      </c>
      <c r="F139" s="10" t="s">
        <v>346</v>
      </c>
      <c r="G139" s="10" cm="1">
        <f t="array" ref="G139">+_xlfn.XLOOKUP(Tabla9[[#This Row],[ESPACIO ACADÉMICO DESTINO]]&amp;Tabla9[[#This Row],[PROGRAMA DESTINO]],Tabla49[ESPACIO ACADÉMICO DESTINO]&amp;Tabla49[PROGRAMA],Tabla49[CÓDIGO],"")</f>
        <v>50141</v>
      </c>
      <c r="H139" s="10" t="s">
        <v>348</v>
      </c>
      <c r="I139" s="14" cm="1">
        <f t="array" ref="I139">+_xlfn.XLOOKUP(Tabla9[[#This Row],[ESPACIO ACADÉMICO DESTINO]]&amp;Tabla9[[#This Row],[PROGRAMA DESTINO]],Tabla49[ESPACIO ACADÉMICO DESTINO]&amp;Tabla49[PROGRAMA],Tabla49[CRÉDITOS],"")</f>
        <v>3</v>
      </c>
      <c r="J139" s="14">
        <v>4.5</v>
      </c>
      <c r="K139" s="10" t="s">
        <v>80</v>
      </c>
      <c r="X139" s="52" t="s">
        <v>100</v>
      </c>
      <c r="Y139" s="10">
        <v>73425</v>
      </c>
      <c r="Z139" s="10" t="s">
        <v>349</v>
      </c>
      <c r="AA139" s="10">
        <v>3</v>
      </c>
    </row>
    <row r="140" spans="3:27" ht="45" x14ac:dyDescent="0.25">
      <c r="C140" s="1" t="str">
        <f>_xlfn.XLOOKUP(Tabla9[[#This Row],[PROGRAMA ORIGEN]],PROGRAMAS_N[PROGRAMAS ORIGEN],PROGRAMAS_N[NIVEL],"")</f>
        <v>TECNÓLOGO</v>
      </c>
      <c r="D140" s="16" t="s">
        <v>131</v>
      </c>
      <c r="E140" s="14">
        <v>250801012</v>
      </c>
      <c r="F140" s="10" t="s">
        <v>346</v>
      </c>
      <c r="G140" s="10" cm="1">
        <f t="array" ref="G140">+_xlfn.XLOOKUP(Tabla9[[#This Row],[ESPACIO ACADÉMICO DESTINO]]&amp;Tabla9[[#This Row],[PROGRAMA DESTINO]],Tabla49[ESPACIO ACADÉMICO DESTINO]&amp;Tabla49[PROGRAMA],Tabla49[CÓDIGO],"")</f>
        <v>50011</v>
      </c>
      <c r="H140" s="10" t="s">
        <v>312</v>
      </c>
      <c r="I140" s="14" cm="1">
        <f t="array" ref="I140">+_xlfn.XLOOKUP(Tabla9[[#This Row],[ESPACIO ACADÉMICO DESTINO]]&amp;Tabla9[[#This Row],[PROGRAMA DESTINO]],Tabla49[ESPACIO ACADÉMICO DESTINO]&amp;Tabla49[PROGRAMA],Tabla49[CRÉDITOS],"")</f>
        <v>2</v>
      </c>
      <c r="J140" s="14">
        <v>4.5</v>
      </c>
      <c r="K140" s="10" t="s">
        <v>80</v>
      </c>
      <c r="X140" s="52" t="s">
        <v>100</v>
      </c>
      <c r="Y140" s="10">
        <v>95110</v>
      </c>
      <c r="Z140" s="10" t="s">
        <v>160</v>
      </c>
      <c r="AA140" s="10">
        <v>2</v>
      </c>
    </row>
    <row r="141" spans="3:27" ht="45" x14ac:dyDescent="0.25">
      <c r="C141" s="1" t="str">
        <f>_xlfn.XLOOKUP(Tabla9[[#This Row],[PROGRAMA ORIGEN]],PROGRAMAS_N[PROGRAMAS ORIGEN],PROGRAMAS_N[NIVEL],"")</f>
        <v>TÉCNICO</v>
      </c>
      <c r="D141" s="16" t="s">
        <v>135</v>
      </c>
      <c r="E141" s="14">
        <v>250801017</v>
      </c>
      <c r="F141" s="10" t="s">
        <v>350</v>
      </c>
      <c r="G141" s="10" cm="1">
        <f t="array" ref="G141">+_xlfn.XLOOKUP(Tabla9[[#This Row],[ESPACIO ACADÉMICO DESTINO]]&amp;Tabla9[[#This Row],[PROGRAMA DESTINO]],Tabla49[ESPACIO ACADÉMICO DESTINO]&amp;Tabla49[PROGRAMA],Tabla49[CÓDIGO],"")</f>
        <v>50205</v>
      </c>
      <c r="H141" s="10" t="s">
        <v>306</v>
      </c>
      <c r="I141" s="14" cm="1">
        <f t="array" ref="I141">+_xlfn.XLOOKUP(Tabla9[[#This Row],[ESPACIO ACADÉMICO DESTINO]]&amp;Tabla9[[#This Row],[PROGRAMA DESTINO]],Tabla49[ESPACIO ACADÉMICO DESTINO]&amp;Tabla49[PROGRAMA],Tabla49[CRÉDITOS],"")</f>
        <v>2</v>
      </c>
      <c r="J141" s="14">
        <v>4.5</v>
      </c>
      <c r="K141" s="10" t="s">
        <v>80</v>
      </c>
      <c r="X141" s="52" t="s">
        <v>100</v>
      </c>
      <c r="Y141" s="10">
        <v>16806</v>
      </c>
      <c r="Z141" s="10" t="s">
        <v>262</v>
      </c>
      <c r="AA141" s="10">
        <v>2</v>
      </c>
    </row>
    <row r="142" spans="3:27" ht="45" x14ac:dyDescent="0.25">
      <c r="C142" s="1" t="str">
        <f>_xlfn.XLOOKUP(Tabla9[[#This Row],[PROGRAMA ORIGEN]],PROGRAMAS_N[PROGRAMAS ORIGEN],PROGRAMAS_N[NIVEL],"")</f>
        <v>TÉCNICO</v>
      </c>
      <c r="D142" s="16" t="s">
        <v>135</v>
      </c>
      <c r="E142" s="14">
        <v>250801017</v>
      </c>
      <c r="F142" s="10" t="s">
        <v>350</v>
      </c>
      <c r="G142" s="10" cm="1">
        <f t="array" ref="G142">+_xlfn.XLOOKUP(Tabla9[[#This Row],[ESPACIO ACADÉMICO DESTINO]]&amp;Tabla9[[#This Row],[PROGRAMA DESTINO]],Tabla49[ESPACIO ACADÉMICO DESTINO]&amp;Tabla49[PROGRAMA],Tabla49[CÓDIGO],"")</f>
        <v>50101</v>
      </c>
      <c r="H142" s="10" t="s">
        <v>308</v>
      </c>
      <c r="I142" s="14" cm="1">
        <f t="array" ref="I142">+_xlfn.XLOOKUP(Tabla9[[#This Row],[ESPACIO ACADÉMICO DESTINO]]&amp;Tabla9[[#This Row],[PROGRAMA DESTINO]],Tabla49[ESPACIO ACADÉMICO DESTINO]&amp;Tabla49[PROGRAMA],Tabla49[CRÉDITOS],"")</f>
        <v>2</v>
      </c>
      <c r="J142" s="14">
        <v>4.5</v>
      </c>
      <c r="K142" s="10" t="s">
        <v>80</v>
      </c>
      <c r="X142" s="52" t="s">
        <v>100</v>
      </c>
      <c r="Y142" s="10">
        <v>73620</v>
      </c>
      <c r="Z142" s="10" t="s">
        <v>351</v>
      </c>
      <c r="AA142" s="10">
        <v>2</v>
      </c>
    </row>
    <row r="143" spans="3:27" ht="45" x14ac:dyDescent="0.25">
      <c r="C143" s="1" t="str">
        <f>_xlfn.XLOOKUP(Tabla9[[#This Row],[PROGRAMA ORIGEN]],PROGRAMAS_N[PROGRAMAS ORIGEN],PROGRAMAS_N[NIVEL],"")</f>
        <v>TÉCNICO</v>
      </c>
      <c r="D143" s="16" t="s">
        <v>135</v>
      </c>
      <c r="E143" s="14">
        <v>250801017</v>
      </c>
      <c r="F143" s="10" t="s">
        <v>350</v>
      </c>
      <c r="G143" s="10" cm="1">
        <f t="array" ref="G143">+_xlfn.XLOOKUP(Tabla9[[#This Row],[ESPACIO ACADÉMICO DESTINO]]&amp;Tabla9[[#This Row],[PROGRAMA DESTINO]],Tabla49[ESPACIO ACADÉMICO DESTINO]&amp;Tabla49[PROGRAMA],Tabla49[CÓDIGO],"")</f>
        <v>50102</v>
      </c>
      <c r="H143" s="10" t="s">
        <v>310</v>
      </c>
      <c r="I143" s="14" cm="1">
        <f t="array" ref="I143">+_xlfn.XLOOKUP(Tabla9[[#This Row],[ESPACIO ACADÉMICO DESTINO]]&amp;Tabla9[[#This Row],[PROGRAMA DESTINO]],Tabla49[ESPACIO ACADÉMICO DESTINO]&amp;Tabla49[PROGRAMA],Tabla49[CRÉDITOS],"")</f>
        <v>2</v>
      </c>
      <c r="J143" s="14">
        <v>4.5</v>
      </c>
      <c r="K143" s="10" t="s">
        <v>80</v>
      </c>
      <c r="X143" s="52" t="s">
        <v>100</v>
      </c>
      <c r="Y143" s="10">
        <v>16826</v>
      </c>
      <c r="Z143" s="10" t="s">
        <v>352</v>
      </c>
      <c r="AA143" s="10">
        <v>3</v>
      </c>
    </row>
    <row r="144" spans="3:27" ht="45" x14ac:dyDescent="0.25">
      <c r="C144" s="1" t="str">
        <f>_xlfn.XLOOKUP(Tabla9[[#This Row],[PROGRAMA ORIGEN]],PROGRAMAS_N[PROGRAMAS ORIGEN],PROGRAMAS_N[NIVEL],"")</f>
        <v>TÉCNICO</v>
      </c>
      <c r="D144" s="16" t="s">
        <v>135</v>
      </c>
      <c r="E144" s="14">
        <v>250801017</v>
      </c>
      <c r="F144" s="10" t="s">
        <v>350</v>
      </c>
      <c r="G144" s="10" cm="1">
        <f t="array" ref="G144">+_xlfn.XLOOKUP(Tabla9[[#This Row],[ESPACIO ACADÉMICO DESTINO]]&amp;Tabla9[[#This Row],[PROGRAMA DESTINO]],Tabla49[ESPACIO ACADÉMICO DESTINO]&amp;Tabla49[PROGRAMA],Tabla49[CÓDIGO],"")</f>
        <v>50006</v>
      </c>
      <c r="H144" s="10" t="s">
        <v>353</v>
      </c>
      <c r="I144" s="14" cm="1">
        <f t="array" ref="I144">+_xlfn.XLOOKUP(Tabla9[[#This Row],[ESPACIO ACADÉMICO DESTINO]]&amp;Tabla9[[#This Row],[PROGRAMA DESTINO]],Tabla49[ESPACIO ACADÉMICO DESTINO]&amp;Tabla49[PROGRAMA],Tabla49[CRÉDITOS],"")</f>
        <v>2</v>
      </c>
      <c r="J144" s="14">
        <v>4.5</v>
      </c>
      <c r="K144" s="10" t="s">
        <v>80</v>
      </c>
      <c r="X144" s="52" t="s">
        <v>100</v>
      </c>
      <c r="Y144" s="10">
        <v>16887</v>
      </c>
      <c r="Z144" s="10" t="s">
        <v>354</v>
      </c>
      <c r="AA144" s="10">
        <v>3</v>
      </c>
    </row>
    <row r="145" spans="3:27" ht="45" x14ac:dyDescent="0.25">
      <c r="C145" s="1" t="str">
        <f>_xlfn.XLOOKUP(Tabla9[[#This Row],[PROGRAMA ORIGEN]],PROGRAMAS_N[PROGRAMAS ORIGEN],PROGRAMAS_N[NIVEL],"")</f>
        <v>TÉCNICO</v>
      </c>
      <c r="D145" s="16" t="s">
        <v>135</v>
      </c>
      <c r="E145" s="14">
        <v>250801017</v>
      </c>
      <c r="F145" s="10" t="s">
        <v>350</v>
      </c>
      <c r="G145" s="10" cm="1">
        <f t="array" ref="G145">+_xlfn.XLOOKUP(Tabla9[[#This Row],[ESPACIO ACADÉMICO DESTINO]]&amp;Tabla9[[#This Row],[PROGRAMA DESTINO]],Tabla49[ESPACIO ACADÉMICO DESTINO]&amp;Tabla49[PROGRAMA],Tabla49[CÓDIGO],"")</f>
        <v>50021</v>
      </c>
      <c r="H145" s="10" t="s">
        <v>324</v>
      </c>
      <c r="I145" s="14" cm="1">
        <f t="array" ref="I145">+_xlfn.XLOOKUP(Tabla9[[#This Row],[ESPACIO ACADÉMICO DESTINO]]&amp;Tabla9[[#This Row],[PROGRAMA DESTINO]],Tabla49[ESPACIO ACADÉMICO DESTINO]&amp;Tabla49[PROGRAMA],Tabla49[CRÉDITOS],"")</f>
        <v>3</v>
      </c>
      <c r="J145" s="14">
        <v>4.5</v>
      </c>
      <c r="K145" s="10" t="s">
        <v>80</v>
      </c>
      <c r="X145" s="52" t="s">
        <v>100</v>
      </c>
      <c r="Y145" s="10">
        <v>73633</v>
      </c>
      <c r="Z145" s="10" t="s">
        <v>201</v>
      </c>
      <c r="AA145" s="10">
        <v>2</v>
      </c>
    </row>
    <row r="146" spans="3:27" ht="45" x14ac:dyDescent="0.25">
      <c r="C146" s="1" t="str">
        <f>_xlfn.XLOOKUP(Tabla9[[#This Row],[PROGRAMA ORIGEN]],PROGRAMAS_N[PROGRAMAS ORIGEN],PROGRAMAS_N[NIVEL],"")</f>
        <v>TÉCNICO</v>
      </c>
      <c r="D146" s="16" t="s">
        <v>138</v>
      </c>
      <c r="E146" s="14">
        <v>250801017</v>
      </c>
      <c r="F146" s="10" t="s">
        <v>350</v>
      </c>
      <c r="G146" s="10" cm="1">
        <f t="array" ref="G146">+_xlfn.XLOOKUP(Tabla9[[#This Row],[ESPACIO ACADÉMICO DESTINO]]&amp;Tabla9[[#This Row],[PROGRAMA DESTINO]],Tabla49[ESPACIO ACADÉMICO DESTINO]&amp;Tabla49[PROGRAMA],Tabla49[CÓDIGO],"")</f>
        <v>50102</v>
      </c>
      <c r="H146" s="10" t="s">
        <v>310</v>
      </c>
      <c r="I146" s="14" cm="1">
        <f t="array" ref="I146">+_xlfn.XLOOKUP(Tabla9[[#This Row],[ESPACIO ACADÉMICO DESTINO]]&amp;Tabla9[[#This Row],[PROGRAMA DESTINO]],Tabla49[ESPACIO ACADÉMICO DESTINO]&amp;Tabla49[PROGRAMA],Tabla49[CRÉDITOS],"")</f>
        <v>2</v>
      </c>
      <c r="J146" s="14">
        <v>4.5</v>
      </c>
      <c r="K146" s="10" t="s">
        <v>80</v>
      </c>
      <c r="X146" s="52" t="s">
        <v>100</v>
      </c>
      <c r="Y146" s="10">
        <v>16879</v>
      </c>
      <c r="Z146" s="10" t="s">
        <v>355</v>
      </c>
      <c r="AA146" s="10">
        <v>3</v>
      </c>
    </row>
    <row r="147" spans="3:27" ht="45" x14ac:dyDescent="0.25">
      <c r="C147" s="1" t="str">
        <f>_xlfn.XLOOKUP(Tabla9[[#This Row],[PROGRAMA ORIGEN]],PROGRAMAS_N[PROGRAMAS ORIGEN],PROGRAMAS_N[NIVEL],"")</f>
        <v>TÉCNICO</v>
      </c>
      <c r="D147" s="16" t="s">
        <v>138</v>
      </c>
      <c r="E147" s="14">
        <v>250801017</v>
      </c>
      <c r="F147" s="10" t="s">
        <v>350</v>
      </c>
      <c r="G147" s="10" cm="1">
        <f t="array" ref="G147">+_xlfn.XLOOKUP(Tabla9[[#This Row],[ESPACIO ACADÉMICO DESTINO]]&amp;Tabla9[[#This Row],[PROGRAMA DESTINO]],Tabla49[ESPACIO ACADÉMICO DESTINO]&amp;Tabla49[PROGRAMA],Tabla49[CÓDIGO],"")</f>
        <v>50003</v>
      </c>
      <c r="H147" s="10" t="s">
        <v>314</v>
      </c>
      <c r="I147" s="14" cm="1">
        <f t="array" ref="I147">+_xlfn.XLOOKUP(Tabla9[[#This Row],[ESPACIO ACADÉMICO DESTINO]]&amp;Tabla9[[#This Row],[PROGRAMA DESTINO]],Tabla49[ESPACIO ACADÉMICO DESTINO]&amp;Tabla49[PROGRAMA],Tabla49[CRÉDITOS],"")</f>
        <v>2</v>
      </c>
      <c r="J147" s="14">
        <v>4.5</v>
      </c>
      <c r="K147" s="10" t="s">
        <v>80</v>
      </c>
      <c r="X147" s="52" t="s">
        <v>100</v>
      </c>
      <c r="Y147" s="10">
        <v>73426</v>
      </c>
      <c r="Z147" s="10" t="s">
        <v>356</v>
      </c>
      <c r="AA147" s="10">
        <v>3</v>
      </c>
    </row>
    <row r="148" spans="3:27" ht="45" x14ac:dyDescent="0.25">
      <c r="C148" s="1" t="str">
        <f>_xlfn.XLOOKUP(Tabla9[[#This Row],[PROGRAMA ORIGEN]],PROGRAMAS_N[PROGRAMAS ORIGEN],PROGRAMAS_N[NIVEL],"")</f>
        <v>TÉCNICO</v>
      </c>
      <c r="D148" s="16" t="s">
        <v>138</v>
      </c>
      <c r="E148" s="14">
        <v>250801017</v>
      </c>
      <c r="F148" s="10" t="s">
        <v>350</v>
      </c>
      <c r="G148" s="10" cm="1">
        <f t="array" ref="G148">+_xlfn.XLOOKUP(Tabla9[[#This Row],[ESPACIO ACADÉMICO DESTINO]]&amp;Tabla9[[#This Row],[PROGRAMA DESTINO]],Tabla49[ESPACIO ACADÉMICO DESTINO]&amp;Tabla49[PROGRAMA],Tabla49[CÓDIGO],"")</f>
        <v>50805</v>
      </c>
      <c r="H148" s="10" t="s">
        <v>316</v>
      </c>
      <c r="I148" s="14" cm="1">
        <f t="array" ref="I148">+_xlfn.XLOOKUP(Tabla9[[#This Row],[ESPACIO ACADÉMICO DESTINO]]&amp;Tabla9[[#This Row],[PROGRAMA DESTINO]],Tabla49[ESPACIO ACADÉMICO DESTINO]&amp;Tabla49[PROGRAMA],Tabla49[CRÉDITOS],"")</f>
        <v>3</v>
      </c>
      <c r="J148" s="14">
        <v>4.5</v>
      </c>
      <c r="K148" s="10" t="s">
        <v>80</v>
      </c>
      <c r="X148" s="52" t="s">
        <v>100</v>
      </c>
      <c r="Y148" s="10">
        <v>95111</v>
      </c>
      <c r="Z148" s="10" t="s">
        <v>184</v>
      </c>
      <c r="AA148" s="10">
        <v>3</v>
      </c>
    </row>
    <row r="149" spans="3:27" ht="45" x14ac:dyDescent="0.25">
      <c r="C149" s="1" t="str">
        <f>_xlfn.XLOOKUP(Tabla9[[#This Row],[PROGRAMA ORIGEN]],PROGRAMAS_N[PROGRAMAS ORIGEN],PROGRAMAS_N[NIVEL],"")</f>
        <v>TÉCNICO</v>
      </c>
      <c r="D149" s="16" t="s">
        <v>138</v>
      </c>
      <c r="E149" s="14">
        <v>230101013</v>
      </c>
      <c r="F149" s="10" t="s">
        <v>357</v>
      </c>
      <c r="G149" s="10" cm="1">
        <f t="array" ref="G149">+_xlfn.XLOOKUP(Tabla9[[#This Row],[ESPACIO ACADÉMICO DESTINO]]&amp;Tabla9[[#This Row],[PROGRAMA DESTINO]],Tabla49[ESPACIO ACADÉMICO DESTINO]&amp;Tabla49[PROGRAMA],Tabla49[CÓDIGO],"")</f>
        <v>50205</v>
      </c>
      <c r="H149" s="10" t="s">
        <v>306</v>
      </c>
      <c r="I149" s="14" cm="1">
        <f t="array" ref="I149">+_xlfn.XLOOKUP(Tabla9[[#This Row],[ESPACIO ACADÉMICO DESTINO]]&amp;Tabla9[[#This Row],[PROGRAMA DESTINO]],Tabla49[ESPACIO ACADÉMICO DESTINO]&amp;Tabla49[PROGRAMA],Tabla49[CRÉDITOS],"")</f>
        <v>2</v>
      </c>
      <c r="J149" s="14">
        <v>4.5</v>
      </c>
      <c r="K149" s="10" t="s">
        <v>80</v>
      </c>
      <c r="X149" s="52" t="s">
        <v>100</v>
      </c>
      <c r="Y149" s="10">
        <v>16831</v>
      </c>
      <c r="Z149" s="10" t="s">
        <v>358</v>
      </c>
      <c r="AA149" s="10">
        <v>3</v>
      </c>
    </row>
    <row r="150" spans="3:27" ht="45" x14ac:dyDescent="0.25">
      <c r="C150" s="1" t="str">
        <f>_xlfn.XLOOKUP(Tabla9[[#This Row],[PROGRAMA ORIGEN]],PROGRAMAS_N[PROGRAMAS ORIGEN],PROGRAMAS_N[NIVEL],"")</f>
        <v>TÉCNICO</v>
      </c>
      <c r="D150" s="16" t="s">
        <v>138</v>
      </c>
      <c r="E150" s="14">
        <v>250801010</v>
      </c>
      <c r="F150" s="10" t="s">
        <v>359</v>
      </c>
      <c r="G150" s="10" cm="1">
        <f t="array" ref="G150">+_xlfn.XLOOKUP(Tabla9[[#This Row],[ESPACIO ACADÉMICO DESTINO]]&amp;Tabla9[[#This Row],[PROGRAMA DESTINO]],Tabla49[ESPACIO ACADÉMICO DESTINO]&amp;Tabla49[PROGRAMA],Tabla49[CÓDIGO],"")</f>
        <v>50141</v>
      </c>
      <c r="H150" s="10" t="s">
        <v>348</v>
      </c>
      <c r="I150" s="14" cm="1">
        <f t="array" ref="I150">+_xlfn.XLOOKUP(Tabla9[[#This Row],[ESPACIO ACADÉMICO DESTINO]]&amp;Tabla9[[#This Row],[PROGRAMA DESTINO]],Tabla49[ESPACIO ACADÉMICO DESTINO]&amp;Tabla49[PROGRAMA],Tabla49[CRÉDITOS],"")</f>
        <v>3</v>
      </c>
      <c r="J150" s="14">
        <v>4.5</v>
      </c>
      <c r="K150" s="10" t="s">
        <v>80</v>
      </c>
      <c r="X150" s="52" t="s">
        <v>100</v>
      </c>
      <c r="Y150" s="10">
        <v>73638</v>
      </c>
      <c r="Z150" s="10" t="s">
        <v>213</v>
      </c>
      <c r="AA150" s="10">
        <v>2</v>
      </c>
    </row>
    <row r="151" spans="3:27" ht="45" x14ac:dyDescent="0.25">
      <c r="C151" s="1" t="str">
        <f>_xlfn.XLOOKUP(Tabla9[[#This Row],[PROGRAMA ORIGEN]],PROGRAMAS_N[PROGRAMAS ORIGEN],PROGRAMAS_N[NIVEL],"")</f>
        <v>TÉCNICO</v>
      </c>
      <c r="D151" s="16" t="s">
        <v>142</v>
      </c>
      <c r="E151" s="14">
        <v>250801016</v>
      </c>
      <c r="F151" s="10" t="s">
        <v>360</v>
      </c>
      <c r="G151" s="10" cm="1">
        <f t="array" ref="G151">+_xlfn.XLOOKUP(Tabla9[[#This Row],[ESPACIO ACADÉMICO DESTINO]]&amp;Tabla9[[#This Row],[PROGRAMA DESTINO]],Tabla49[ESPACIO ACADÉMICO DESTINO]&amp;Tabla49[PROGRAMA],Tabla49[CÓDIGO],"")</f>
        <v>50023</v>
      </c>
      <c r="H151" s="10" t="s">
        <v>361</v>
      </c>
      <c r="I151" s="14" cm="1">
        <f t="array" ref="I151">+_xlfn.XLOOKUP(Tabla9[[#This Row],[ESPACIO ACADÉMICO DESTINO]]&amp;Tabla9[[#This Row],[PROGRAMA DESTINO]],Tabla49[ESPACIO ACADÉMICO DESTINO]&amp;Tabla49[PROGRAMA],Tabla49[CRÉDITOS],"")</f>
        <v>2</v>
      </c>
      <c r="J151" s="14">
        <v>4.5</v>
      </c>
      <c r="K151" s="10" t="s">
        <v>80</v>
      </c>
      <c r="X151" s="52" t="s">
        <v>100</v>
      </c>
      <c r="Y151" s="10">
        <v>16883</v>
      </c>
      <c r="Z151" s="10" t="s">
        <v>362</v>
      </c>
      <c r="AA151" s="10">
        <v>3</v>
      </c>
    </row>
    <row r="152" spans="3:27" ht="45" x14ac:dyDescent="0.25">
      <c r="C152" s="1" t="str">
        <f>_xlfn.XLOOKUP(Tabla9[[#This Row],[PROGRAMA ORIGEN]],PROGRAMAS_N[PROGRAMAS ORIGEN],PROGRAMAS_N[NIVEL],"")</f>
        <v>TÉCNICO</v>
      </c>
      <c r="D152" s="16" t="s">
        <v>142</v>
      </c>
      <c r="E152" s="14">
        <v>250801016</v>
      </c>
      <c r="F152" s="10" t="s">
        <v>360</v>
      </c>
      <c r="G152" s="10" cm="1">
        <f t="array" ref="G152">+_xlfn.XLOOKUP(Tabla9[[#This Row],[ESPACIO ACADÉMICO DESTINO]]&amp;Tabla9[[#This Row],[PROGRAMA DESTINO]],Tabla49[ESPACIO ACADÉMICO DESTINO]&amp;Tabla49[PROGRAMA],Tabla49[CÓDIGO],"")</f>
        <v>50102</v>
      </c>
      <c r="H152" s="10" t="s">
        <v>310</v>
      </c>
      <c r="I152" s="14" cm="1">
        <f t="array" ref="I152">+_xlfn.XLOOKUP(Tabla9[[#This Row],[ESPACIO ACADÉMICO DESTINO]]&amp;Tabla9[[#This Row],[PROGRAMA DESTINO]],Tabla49[ESPACIO ACADÉMICO DESTINO]&amp;Tabla49[PROGRAMA],Tabla49[CRÉDITOS],"")</f>
        <v>2</v>
      </c>
      <c r="J152" s="14">
        <v>4.5</v>
      </c>
      <c r="K152" s="10" t="s">
        <v>80</v>
      </c>
      <c r="X152" s="52" t="s">
        <v>100</v>
      </c>
      <c r="Y152" s="10">
        <v>16880</v>
      </c>
      <c r="Z152" s="10" t="s">
        <v>363</v>
      </c>
      <c r="AA152" s="10">
        <v>3</v>
      </c>
    </row>
    <row r="153" spans="3:27" ht="45" x14ac:dyDescent="0.25">
      <c r="C153" s="1" t="str">
        <f>_xlfn.XLOOKUP(Tabla9[[#This Row],[PROGRAMA ORIGEN]],PROGRAMAS_N[PROGRAMAS ORIGEN],PROGRAMAS_N[NIVEL],"")</f>
        <v>TÉCNICO</v>
      </c>
      <c r="D153" s="16" t="s">
        <v>142</v>
      </c>
      <c r="E153" s="14">
        <v>250801016</v>
      </c>
      <c r="F153" s="10" t="s">
        <v>360</v>
      </c>
      <c r="G153" s="10" cm="1">
        <f t="array" ref="G153">+_xlfn.XLOOKUP(Tabla9[[#This Row],[ESPACIO ACADÉMICO DESTINO]]&amp;Tabla9[[#This Row],[PROGRAMA DESTINO]],Tabla49[ESPACIO ACADÉMICO DESTINO]&amp;Tabla49[PROGRAMA],Tabla49[CÓDIGO],"")</f>
        <v>50103</v>
      </c>
      <c r="H153" s="10" t="s">
        <v>320</v>
      </c>
      <c r="I153" s="14" cm="1">
        <f t="array" ref="I153">+_xlfn.XLOOKUP(Tabla9[[#This Row],[ESPACIO ACADÉMICO DESTINO]]&amp;Tabla9[[#This Row],[PROGRAMA DESTINO]],Tabla49[ESPACIO ACADÉMICO DESTINO]&amp;Tabla49[PROGRAMA],Tabla49[CRÉDITOS],"")</f>
        <v>2</v>
      </c>
      <c r="J153" s="14">
        <v>4.5</v>
      </c>
      <c r="K153" s="10" t="s">
        <v>80</v>
      </c>
      <c r="X153" s="52" t="s">
        <v>100</v>
      </c>
      <c r="Y153" s="10">
        <v>96117</v>
      </c>
      <c r="Z153" s="10" t="s">
        <v>261</v>
      </c>
      <c r="AA153" s="10">
        <v>3</v>
      </c>
    </row>
    <row r="154" spans="3:27" ht="45" x14ac:dyDescent="0.25">
      <c r="C154" s="1" t="str">
        <f>_xlfn.XLOOKUP(Tabla9[[#This Row],[PROGRAMA ORIGEN]],PROGRAMAS_N[PROGRAMAS ORIGEN],PROGRAMAS_N[NIVEL],"")</f>
        <v>TÉCNICO</v>
      </c>
      <c r="D154" s="16" t="s">
        <v>142</v>
      </c>
      <c r="E154" s="14">
        <v>250801016</v>
      </c>
      <c r="F154" s="10" t="s">
        <v>360</v>
      </c>
      <c r="G154" s="10" cm="1">
        <f t="array" ref="G154">+_xlfn.XLOOKUP(Tabla9[[#This Row],[ESPACIO ACADÉMICO DESTINO]]&amp;Tabla9[[#This Row],[PROGRAMA DESTINO]],Tabla49[ESPACIO ACADÉMICO DESTINO]&amp;Tabla49[PROGRAMA],Tabla49[CÓDIGO],"")</f>
        <v>50003</v>
      </c>
      <c r="H154" s="10" t="s">
        <v>314</v>
      </c>
      <c r="I154" s="14" cm="1">
        <f t="array" ref="I154">+_xlfn.XLOOKUP(Tabla9[[#This Row],[ESPACIO ACADÉMICO DESTINO]]&amp;Tabla9[[#This Row],[PROGRAMA DESTINO]],Tabla49[ESPACIO ACADÉMICO DESTINO]&amp;Tabla49[PROGRAMA],Tabla49[CRÉDITOS],"")</f>
        <v>2</v>
      </c>
      <c r="J154" s="14">
        <v>4.5</v>
      </c>
      <c r="K154" s="10" t="s">
        <v>80</v>
      </c>
      <c r="X154" s="52" t="s">
        <v>100</v>
      </c>
      <c r="Y154" s="8">
        <v>16643</v>
      </c>
      <c r="Z154" s="8" t="s">
        <v>364</v>
      </c>
      <c r="AA154" s="8">
        <v>2</v>
      </c>
    </row>
    <row r="155" spans="3:27" ht="45" x14ac:dyDescent="0.25">
      <c r="C155" s="1" t="str">
        <f>_xlfn.XLOOKUP(Tabla9[[#This Row],[PROGRAMA ORIGEN]],PROGRAMAS_N[PROGRAMAS ORIGEN],PROGRAMAS_N[NIVEL],"")</f>
        <v>TÉCNICO</v>
      </c>
      <c r="D155" s="16" t="s">
        <v>142</v>
      </c>
      <c r="E155" s="14">
        <v>260602011</v>
      </c>
      <c r="F155" s="10" t="s">
        <v>365</v>
      </c>
      <c r="G155" s="10" cm="1">
        <f t="array" ref="G155">+_xlfn.XLOOKUP(Tabla9[[#This Row],[ESPACIO ACADÉMICO DESTINO]]&amp;Tabla9[[#This Row],[PROGRAMA DESTINO]],Tabla49[ESPACIO ACADÉMICO DESTINO]&amp;Tabla49[PROGRAMA],Tabla49[CÓDIGO],"")</f>
        <v>56331</v>
      </c>
      <c r="H155" s="10" t="s">
        <v>366</v>
      </c>
      <c r="I155" s="14" cm="1">
        <f t="array" ref="I155">+_xlfn.XLOOKUP(Tabla9[[#This Row],[ESPACIO ACADÉMICO DESTINO]]&amp;Tabla9[[#This Row],[PROGRAMA DESTINO]],Tabla49[ESPACIO ACADÉMICO DESTINO]&amp;Tabla49[PROGRAMA],Tabla49[CRÉDITOS],"")</f>
        <v>2</v>
      </c>
      <c r="J155" s="14">
        <v>4.5</v>
      </c>
      <c r="K155" s="10" t="s">
        <v>80</v>
      </c>
      <c r="X155" s="52" t="s">
        <v>100</v>
      </c>
      <c r="Y155" s="8">
        <v>16836</v>
      </c>
      <c r="Z155" s="8" t="s">
        <v>367</v>
      </c>
      <c r="AA155" s="8">
        <v>3</v>
      </c>
    </row>
    <row r="156" spans="3:27" ht="45" x14ac:dyDescent="0.25">
      <c r="C156" s="1" t="str">
        <f>_xlfn.XLOOKUP(Tabla9[[#This Row],[PROGRAMA ORIGEN]],PROGRAMAS_N[PROGRAMAS ORIGEN],PROGRAMAS_N[NIVEL],"")</f>
        <v>TECNÓLOGO</v>
      </c>
      <c r="D156" s="16" t="s">
        <v>146</v>
      </c>
      <c r="E156" s="14">
        <v>250801005</v>
      </c>
      <c r="F156" s="10" t="s">
        <v>368</v>
      </c>
      <c r="G156" s="10" cm="1">
        <f t="array" ref="G156">+_xlfn.XLOOKUP(Tabla9[[#This Row],[ESPACIO ACADÉMICO DESTINO]]&amp;Tabla9[[#This Row],[PROGRAMA DESTINO]],Tabla49[ESPACIO ACADÉMICO DESTINO]&amp;Tabla49[PROGRAMA],Tabla49[CÓDIGO],"")</f>
        <v>50102</v>
      </c>
      <c r="H156" s="10" t="s">
        <v>310</v>
      </c>
      <c r="I156" s="14" cm="1">
        <f t="array" ref="I156">+_xlfn.XLOOKUP(Tabla9[[#This Row],[ESPACIO ACADÉMICO DESTINO]]&amp;Tabla9[[#This Row],[PROGRAMA DESTINO]],Tabla49[ESPACIO ACADÉMICO DESTINO]&amp;Tabla49[PROGRAMA],Tabla49[CRÉDITOS],"")</f>
        <v>2</v>
      </c>
      <c r="J156" s="14">
        <v>4.5</v>
      </c>
      <c r="K156" s="10" t="s">
        <v>80</v>
      </c>
      <c r="X156" s="52" t="s">
        <v>100</v>
      </c>
      <c r="Y156" s="8">
        <v>73622</v>
      </c>
      <c r="Z156" s="8" t="s">
        <v>369</v>
      </c>
      <c r="AA156" s="8">
        <v>2</v>
      </c>
    </row>
    <row r="157" spans="3:27" ht="45" x14ac:dyDescent="0.25">
      <c r="C157" s="1" t="str">
        <f>_xlfn.XLOOKUP(Tabla9[[#This Row],[PROGRAMA ORIGEN]],PROGRAMAS_N[PROGRAMAS ORIGEN],PROGRAMAS_N[NIVEL],"")</f>
        <v>TECNÓLOGO</v>
      </c>
      <c r="D157" s="16" t="s">
        <v>146</v>
      </c>
      <c r="E157" s="14">
        <v>250801005</v>
      </c>
      <c r="F157" s="10" t="s">
        <v>368</v>
      </c>
      <c r="G157" s="10" cm="1">
        <f t="array" ref="G157">+_xlfn.XLOOKUP(Tabla9[[#This Row],[ESPACIO ACADÉMICO DESTINO]]&amp;Tabla9[[#This Row],[PROGRAMA DESTINO]],Tabla49[ESPACIO ACADÉMICO DESTINO]&amp;Tabla49[PROGRAMA],Tabla49[CÓDIGO],"")</f>
        <v>50003</v>
      </c>
      <c r="H157" s="10" t="s">
        <v>314</v>
      </c>
      <c r="I157" s="14" cm="1">
        <f t="array" ref="I157">+_xlfn.XLOOKUP(Tabla9[[#This Row],[ESPACIO ACADÉMICO DESTINO]]&amp;Tabla9[[#This Row],[PROGRAMA DESTINO]],Tabla49[ESPACIO ACADÉMICO DESTINO]&amp;Tabla49[PROGRAMA],Tabla49[CRÉDITOS],"")</f>
        <v>2</v>
      </c>
      <c r="J157" s="14">
        <v>4.5</v>
      </c>
      <c r="K157" s="10" t="s">
        <v>80</v>
      </c>
      <c r="X157" s="52" t="s">
        <v>100</v>
      </c>
      <c r="Y157" s="8">
        <v>16885</v>
      </c>
      <c r="Z157" s="8" t="s">
        <v>370</v>
      </c>
      <c r="AA157" s="8">
        <v>3</v>
      </c>
    </row>
    <row r="158" spans="3:27" ht="45" x14ac:dyDescent="0.25">
      <c r="C158" s="1" t="str">
        <f>_xlfn.XLOOKUP(Tabla9[[#This Row],[PROGRAMA ORIGEN]],PROGRAMAS_N[PROGRAMAS ORIGEN],PROGRAMAS_N[NIVEL],"")</f>
        <v>TECNÓLOGO</v>
      </c>
      <c r="D158" s="16" t="s">
        <v>146</v>
      </c>
      <c r="E158" s="14">
        <v>250801005</v>
      </c>
      <c r="F158" s="10" t="s">
        <v>368</v>
      </c>
      <c r="G158" s="10" cm="1">
        <f t="array" ref="G158">+_xlfn.XLOOKUP(Tabla9[[#This Row],[ESPACIO ACADÉMICO DESTINO]]&amp;Tabla9[[#This Row],[PROGRAMA DESTINO]],Tabla49[ESPACIO ACADÉMICO DESTINO]&amp;Tabla49[PROGRAMA],Tabla49[CÓDIGO],"")</f>
        <v>50805</v>
      </c>
      <c r="H158" s="10" t="s">
        <v>316</v>
      </c>
      <c r="I158" s="14" cm="1">
        <f t="array" ref="I158">+_xlfn.XLOOKUP(Tabla9[[#This Row],[ESPACIO ACADÉMICO DESTINO]]&amp;Tabla9[[#This Row],[PROGRAMA DESTINO]],Tabla49[ESPACIO ACADÉMICO DESTINO]&amp;Tabla49[PROGRAMA],Tabla49[CRÉDITOS],"")</f>
        <v>3</v>
      </c>
      <c r="J158" s="14">
        <v>4.5</v>
      </c>
      <c r="K158" s="10" t="s">
        <v>80</v>
      </c>
      <c r="X158" s="52" t="s">
        <v>100</v>
      </c>
      <c r="Y158" s="8">
        <v>73428</v>
      </c>
      <c r="Z158" s="8" t="s">
        <v>371</v>
      </c>
      <c r="AA158" s="8">
        <v>3</v>
      </c>
    </row>
    <row r="159" spans="3:27" ht="45" x14ac:dyDescent="0.25">
      <c r="C159" s="1" t="str">
        <f>_xlfn.XLOOKUP(Tabla9[[#This Row],[PROGRAMA ORIGEN]],PROGRAMAS_N[PROGRAMAS ORIGEN],PROGRAMAS_N[NIVEL],"")</f>
        <v>TECNÓLOGO</v>
      </c>
      <c r="D159" s="16" t="s">
        <v>146</v>
      </c>
      <c r="E159" s="14">
        <v>250801005</v>
      </c>
      <c r="F159" s="10" t="s">
        <v>368</v>
      </c>
      <c r="G159" s="10" cm="1">
        <f t="array" ref="G159">+_xlfn.XLOOKUP(Tabla9[[#This Row],[ESPACIO ACADÉMICO DESTINO]]&amp;Tabla9[[#This Row],[PROGRAMA DESTINO]],Tabla49[ESPACIO ACADÉMICO DESTINO]&amp;Tabla49[PROGRAMA],Tabla49[CÓDIGO],"")</f>
        <v>50023</v>
      </c>
      <c r="H159" s="10" t="s">
        <v>361</v>
      </c>
      <c r="I159" s="14" cm="1">
        <f t="array" ref="I159">+_xlfn.XLOOKUP(Tabla9[[#This Row],[ESPACIO ACADÉMICO DESTINO]]&amp;Tabla9[[#This Row],[PROGRAMA DESTINO]],Tabla49[ESPACIO ACADÉMICO DESTINO]&amp;Tabla49[PROGRAMA],Tabla49[CRÉDITOS],"")</f>
        <v>2</v>
      </c>
      <c r="J159" s="14">
        <v>4.5</v>
      </c>
      <c r="K159" s="10" t="s">
        <v>80</v>
      </c>
      <c r="X159" s="52" t="s">
        <v>100</v>
      </c>
      <c r="Y159" s="8">
        <v>16395</v>
      </c>
      <c r="Z159" s="8" t="s">
        <v>217</v>
      </c>
      <c r="AA159" s="8">
        <v>3</v>
      </c>
    </row>
    <row r="160" spans="3:27" ht="45" x14ac:dyDescent="0.25">
      <c r="C160" s="1" t="str">
        <f>_xlfn.XLOOKUP(Tabla9[[#This Row],[PROGRAMA ORIGEN]],PROGRAMAS_N[PROGRAMAS ORIGEN],PROGRAMAS_N[NIVEL],"")</f>
        <v>TECNÓLOGO</v>
      </c>
      <c r="D160" s="16" t="s">
        <v>146</v>
      </c>
      <c r="E160" s="14">
        <v>230101013</v>
      </c>
      <c r="F160" s="10" t="s">
        <v>317</v>
      </c>
      <c r="G160" s="10" cm="1">
        <f t="array" ref="G160">+_xlfn.XLOOKUP(Tabla9[[#This Row],[ESPACIO ACADÉMICO DESTINO]]&amp;Tabla9[[#This Row],[PROGRAMA DESTINO]],Tabla49[ESPACIO ACADÉMICO DESTINO]&amp;Tabla49[PROGRAMA],Tabla49[CÓDIGO],"")</f>
        <v>50302</v>
      </c>
      <c r="H160" s="10" t="s">
        <v>318</v>
      </c>
      <c r="I160" s="14" cm="1">
        <f t="array" ref="I160">+_xlfn.XLOOKUP(Tabla9[[#This Row],[ESPACIO ACADÉMICO DESTINO]]&amp;Tabla9[[#This Row],[PROGRAMA DESTINO]],Tabla49[ESPACIO ACADÉMICO DESTINO]&amp;Tabla49[PROGRAMA],Tabla49[CRÉDITOS],"")</f>
        <v>2</v>
      </c>
      <c r="J160" s="14">
        <v>4.5</v>
      </c>
      <c r="K160" s="10" t="s">
        <v>80</v>
      </c>
      <c r="X160" s="52" t="s">
        <v>100</v>
      </c>
      <c r="Y160" s="8">
        <v>16841</v>
      </c>
      <c r="Z160" s="8" t="s">
        <v>372</v>
      </c>
      <c r="AA160" s="8">
        <v>3</v>
      </c>
    </row>
    <row r="161" spans="3:27" ht="45" x14ac:dyDescent="0.25">
      <c r="C161" s="1" t="str">
        <f>_xlfn.XLOOKUP(Tabla9[[#This Row],[PROGRAMA ORIGEN]],PROGRAMAS_N[PROGRAMAS ORIGEN],PROGRAMAS_N[NIVEL],"")</f>
        <v>TÉCNICO</v>
      </c>
      <c r="D161" s="16" t="s">
        <v>149</v>
      </c>
      <c r="E161" s="14">
        <v>240201500</v>
      </c>
      <c r="F161" s="10" t="s">
        <v>144</v>
      </c>
      <c r="G161" s="10" cm="1">
        <f t="array" ref="G161">+_xlfn.XLOOKUP(Tabla9[[#This Row],[ESPACIO ACADÉMICO DESTINO]]&amp;Tabla9[[#This Row],[PROGRAMA DESTINO]],Tabla49[ESPACIO ACADÉMICO DESTINO]&amp;Tabla49[PROGRAMA],Tabla49[CÓDIGO],"")</f>
        <v>50102</v>
      </c>
      <c r="H161" s="10" t="s">
        <v>310</v>
      </c>
      <c r="I161" s="14" cm="1">
        <f t="array" ref="I161">+_xlfn.XLOOKUP(Tabla9[[#This Row],[ESPACIO ACADÉMICO DESTINO]]&amp;Tabla9[[#This Row],[PROGRAMA DESTINO]],Tabla49[ESPACIO ACADÉMICO DESTINO]&amp;Tabla49[PROGRAMA],Tabla49[CRÉDITOS],"")</f>
        <v>2</v>
      </c>
      <c r="J161" s="14">
        <v>4.5</v>
      </c>
      <c r="K161" s="10" t="s">
        <v>80</v>
      </c>
      <c r="X161" s="52" t="s">
        <v>100</v>
      </c>
      <c r="Y161" s="8">
        <v>16846</v>
      </c>
      <c r="Z161" s="8" t="s">
        <v>373</v>
      </c>
      <c r="AA161" s="8">
        <v>2</v>
      </c>
    </row>
    <row r="162" spans="3:27" ht="45" x14ac:dyDescent="0.25">
      <c r="C162" s="1" t="str">
        <f>_xlfn.XLOOKUP(Tabla9[[#This Row],[PROGRAMA ORIGEN]],PROGRAMAS_N[PROGRAMAS ORIGEN],PROGRAMAS_N[NIVEL],"")</f>
        <v>TÉCNICO</v>
      </c>
      <c r="D162" s="16" t="s">
        <v>149</v>
      </c>
      <c r="E162" s="14">
        <v>240201500</v>
      </c>
      <c r="F162" s="10" t="s">
        <v>144</v>
      </c>
      <c r="G162" s="10" cm="1">
        <f t="array" ref="G162">+_xlfn.XLOOKUP(Tabla9[[#This Row],[ESPACIO ACADÉMICO DESTINO]]&amp;Tabla9[[#This Row],[PROGRAMA DESTINO]],Tabla49[ESPACIO ACADÉMICO DESTINO]&amp;Tabla49[PROGRAMA],Tabla49[CÓDIGO],"")</f>
        <v>50003</v>
      </c>
      <c r="H162" s="10" t="s">
        <v>314</v>
      </c>
      <c r="I162" s="14" cm="1">
        <f t="array" ref="I162">+_xlfn.XLOOKUP(Tabla9[[#This Row],[ESPACIO ACADÉMICO DESTINO]]&amp;Tabla9[[#This Row],[PROGRAMA DESTINO]],Tabla49[ESPACIO ACADÉMICO DESTINO]&amp;Tabla49[PROGRAMA],Tabla49[CRÉDITOS],"")</f>
        <v>2</v>
      </c>
      <c r="J162" s="14">
        <v>4.5</v>
      </c>
      <c r="K162" s="10" t="s">
        <v>80</v>
      </c>
      <c r="X162" s="52" t="s">
        <v>100</v>
      </c>
      <c r="Y162" s="10">
        <v>16698</v>
      </c>
      <c r="Z162" s="10" t="s">
        <v>374</v>
      </c>
      <c r="AA162" s="10">
        <v>3</v>
      </c>
    </row>
    <row r="163" spans="3:27" ht="45" x14ac:dyDescent="0.25">
      <c r="C163" s="1" t="str">
        <f>_xlfn.XLOOKUP(Tabla9[[#This Row],[PROGRAMA ORIGEN]],PROGRAMAS_N[PROGRAMAS ORIGEN],PROGRAMAS_N[NIVEL],"")</f>
        <v>TÉCNICO</v>
      </c>
      <c r="D163" s="16" t="s">
        <v>149</v>
      </c>
      <c r="E163" s="14">
        <v>240201500</v>
      </c>
      <c r="F163" s="10" t="s">
        <v>144</v>
      </c>
      <c r="G163" s="10" cm="1">
        <f t="array" ref="G163">+_xlfn.XLOOKUP(Tabla9[[#This Row],[ESPACIO ACADÉMICO DESTINO]]&amp;Tabla9[[#This Row],[PROGRAMA DESTINO]],Tabla49[ESPACIO ACADÉMICO DESTINO]&amp;Tabla49[PROGRAMA],Tabla49[CÓDIGO],"")</f>
        <v>50805</v>
      </c>
      <c r="H163" s="10" t="s">
        <v>316</v>
      </c>
      <c r="I163" s="14" cm="1">
        <f t="array" ref="I163">+_xlfn.XLOOKUP(Tabla9[[#This Row],[ESPACIO ACADÉMICO DESTINO]]&amp;Tabla9[[#This Row],[PROGRAMA DESTINO]],Tabla49[ESPACIO ACADÉMICO DESTINO]&amp;Tabla49[PROGRAMA],Tabla49[CRÉDITOS],"")</f>
        <v>3</v>
      </c>
      <c r="J163" s="14">
        <v>4.5</v>
      </c>
      <c r="K163" s="10" t="s">
        <v>80</v>
      </c>
      <c r="X163" s="52" t="s">
        <v>100</v>
      </c>
      <c r="Y163" s="10">
        <v>73655</v>
      </c>
      <c r="Z163" s="10" t="s">
        <v>375</v>
      </c>
      <c r="AA163" s="10">
        <v>3</v>
      </c>
    </row>
    <row r="164" spans="3:27" ht="45" x14ac:dyDescent="0.25">
      <c r="C164" s="1" t="str">
        <f>_xlfn.XLOOKUP(Tabla9[[#This Row],[PROGRAMA ORIGEN]],PROGRAMAS_N[PROGRAMAS ORIGEN],PROGRAMAS_N[NIVEL],"")</f>
        <v>TÉCNICO</v>
      </c>
      <c r="D164" s="16" t="s">
        <v>149</v>
      </c>
      <c r="E164" s="14">
        <v>250801016</v>
      </c>
      <c r="F164" s="10" t="s">
        <v>360</v>
      </c>
      <c r="G164" s="10" cm="1">
        <f t="array" ref="G164">+_xlfn.XLOOKUP(Tabla9[[#This Row],[ESPACIO ACADÉMICO DESTINO]]&amp;Tabla9[[#This Row],[PROGRAMA DESTINO]],Tabla49[ESPACIO ACADÉMICO DESTINO]&amp;Tabla49[PROGRAMA],Tabla49[CÓDIGO],"")</f>
        <v>50023</v>
      </c>
      <c r="H164" s="10" t="s">
        <v>361</v>
      </c>
      <c r="I164" s="14" cm="1">
        <f t="array" ref="I164">+_xlfn.XLOOKUP(Tabla9[[#This Row],[ESPACIO ACADÉMICO DESTINO]]&amp;Tabla9[[#This Row],[PROGRAMA DESTINO]],Tabla49[ESPACIO ACADÉMICO DESTINO]&amp;Tabla49[PROGRAMA],Tabla49[CRÉDITOS],"")</f>
        <v>2</v>
      </c>
      <c r="J164" s="14">
        <v>4.5</v>
      </c>
      <c r="K164" s="10" t="s">
        <v>80</v>
      </c>
      <c r="X164" s="52" t="s">
        <v>100</v>
      </c>
      <c r="Y164" s="10">
        <v>73429</v>
      </c>
      <c r="Z164" s="10" t="s">
        <v>376</v>
      </c>
      <c r="AA164" s="10">
        <v>3</v>
      </c>
    </row>
    <row r="165" spans="3:27" ht="45" x14ac:dyDescent="0.25">
      <c r="C165" s="1" t="str">
        <f>_xlfn.XLOOKUP(Tabla9[[#This Row],[PROGRAMA ORIGEN]],PROGRAMAS_N[PROGRAMAS ORIGEN],PROGRAMAS_N[NIVEL],"")</f>
        <v>TÉCNICO</v>
      </c>
      <c r="D165" s="16" t="s">
        <v>149</v>
      </c>
      <c r="E165" s="14">
        <v>260602011</v>
      </c>
      <c r="F165" s="10" t="s">
        <v>377</v>
      </c>
      <c r="G165" s="10" cm="1">
        <f t="array" ref="G165">+_xlfn.XLOOKUP(Tabla9[[#This Row],[ESPACIO ACADÉMICO DESTINO]]&amp;Tabla9[[#This Row],[PROGRAMA DESTINO]],Tabla49[ESPACIO ACADÉMICO DESTINO]&amp;Tabla49[PROGRAMA],Tabla49[CÓDIGO],"")</f>
        <v>56331</v>
      </c>
      <c r="H165" s="10" t="s">
        <v>366</v>
      </c>
      <c r="I165" s="14" cm="1">
        <f t="array" ref="I165">+_xlfn.XLOOKUP(Tabla9[[#This Row],[ESPACIO ACADÉMICO DESTINO]]&amp;Tabla9[[#This Row],[PROGRAMA DESTINO]],Tabla49[ESPACIO ACADÉMICO DESTINO]&amp;Tabla49[PROGRAMA],Tabla49[CRÉDITOS],"")</f>
        <v>2</v>
      </c>
      <c r="J165" s="14">
        <v>4.5</v>
      </c>
      <c r="K165" s="10" t="s">
        <v>80</v>
      </c>
      <c r="X165" s="52" t="s">
        <v>100</v>
      </c>
      <c r="Y165" s="10">
        <v>95112</v>
      </c>
      <c r="Z165" s="10" t="s">
        <v>202</v>
      </c>
      <c r="AA165" s="10">
        <v>2</v>
      </c>
    </row>
    <row r="166" spans="3:27" ht="45" x14ac:dyDescent="0.25">
      <c r="C166" s="1" t="str">
        <f>_xlfn.XLOOKUP(Tabla9[[#This Row],[PROGRAMA ORIGEN]],PROGRAMAS_N[PROGRAMAS ORIGEN],PROGRAMAS_N[NIVEL],"")</f>
        <v>TÉCNICO</v>
      </c>
      <c r="D166" s="16" t="s">
        <v>151</v>
      </c>
      <c r="E166" s="14">
        <v>250801015</v>
      </c>
      <c r="F166" s="10" t="s">
        <v>378</v>
      </c>
      <c r="G166" s="10" cm="1">
        <f t="array" ref="G166">+_xlfn.XLOOKUP(Tabla9[[#This Row],[ESPACIO ACADÉMICO DESTINO]]&amp;Tabla9[[#This Row],[PROGRAMA DESTINO]],Tabla49[ESPACIO ACADÉMICO DESTINO]&amp;Tabla49[PROGRAMA],Tabla49[CÓDIGO],"")</f>
        <v>50102</v>
      </c>
      <c r="H166" s="10" t="s">
        <v>310</v>
      </c>
      <c r="I166" s="14" cm="1">
        <f t="array" ref="I166">+_xlfn.XLOOKUP(Tabla9[[#This Row],[ESPACIO ACADÉMICO DESTINO]]&amp;Tabla9[[#This Row],[PROGRAMA DESTINO]],Tabla49[ESPACIO ACADÉMICO DESTINO]&amp;Tabla49[PROGRAMA],Tabla49[CRÉDITOS],"")</f>
        <v>2</v>
      </c>
      <c r="J166" s="14">
        <v>4.5</v>
      </c>
      <c r="K166" s="10" t="s">
        <v>80</v>
      </c>
      <c r="X166" s="52" t="s">
        <v>100</v>
      </c>
      <c r="Y166" s="10">
        <v>95113</v>
      </c>
      <c r="Z166" s="10" t="s">
        <v>214</v>
      </c>
      <c r="AA166" s="10">
        <v>2</v>
      </c>
    </row>
    <row r="167" spans="3:27" ht="45" x14ac:dyDescent="0.25">
      <c r="C167" s="1" t="str">
        <f>_xlfn.XLOOKUP(Tabla9[[#This Row],[PROGRAMA ORIGEN]],PROGRAMAS_N[PROGRAMAS ORIGEN],PROGRAMAS_N[NIVEL],"")</f>
        <v>TÉCNICO</v>
      </c>
      <c r="D167" s="16" t="s">
        <v>151</v>
      </c>
      <c r="E167" s="14">
        <v>250801015</v>
      </c>
      <c r="F167" s="10" t="s">
        <v>378</v>
      </c>
      <c r="G167" s="10" cm="1">
        <f t="array" ref="G167">+_xlfn.XLOOKUP(Tabla9[[#This Row],[ESPACIO ACADÉMICO DESTINO]]&amp;Tabla9[[#This Row],[PROGRAMA DESTINO]],Tabla49[ESPACIO ACADÉMICO DESTINO]&amp;Tabla49[PROGRAMA],Tabla49[CÓDIGO],"")</f>
        <v>50003</v>
      </c>
      <c r="H167" s="10" t="s">
        <v>314</v>
      </c>
      <c r="I167" s="14" cm="1">
        <f t="array" ref="I167">+_xlfn.XLOOKUP(Tabla9[[#This Row],[ESPACIO ACADÉMICO DESTINO]]&amp;Tabla9[[#This Row],[PROGRAMA DESTINO]],Tabla49[ESPACIO ACADÉMICO DESTINO]&amp;Tabla49[PROGRAMA],Tabla49[CRÉDITOS],"")</f>
        <v>2</v>
      </c>
      <c r="J167" s="14">
        <v>4.5</v>
      </c>
      <c r="K167" s="10" t="s">
        <v>80</v>
      </c>
      <c r="X167" s="52" t="s">
        <v>100</v>
      </c>
      <c r="Y167" s="10">
        <v>16850</v>
      </c>
      <c r="Z167" s="10" t="s">
        <v>379</v>
      </c>
      <c r="AA167" s="10">
        <v>2</v>
      </c>
    </row>
    <row r="168" spans="3:27" ht="45" x14ac:dyDescent="0.25">
      <c r="C168" s="1" t="str">
        <f>_xlfn.XLOOKUP(Tabla9[[#This Row],[PROGRAMA ORIGEN]],PROGRAMAS_N[PROGRAMAS ORIGEN],PROGRAMAS_N[NIVEL],"")</f>
        <v>TÉCNICO</v>
      </c>
      <c r="D168" s="16" t="s">
        <v>151</v>
      </c>
      <c r="E168" s="14">
        <v>230101013</v>
      </c>
      <c r="F168" s="10" t="s">
        <v>317</v>
      </c>
      <c r="G168" s="10" cm="1">
        <f t="array" ref="G168">+_xlfn.XLOOKUP(Tabla9[[#This Row],[ESPACIO ACADÉMICO DESTINO]]&amp;Tabla9[[#This Row],[PROGRAMA DESTINO]],Tabla49[ESPACIO ACADÉMICO DESTINO]&amp;Tabla49[PROGRAMA],Tabla49[CÓDIGO],"")</f>
        <v>50302</v>
      </c>
      <c r="H168" s="10" t="s">
        <v>318</v>
      </c>
      <c r="I168" s="14" cm="1">
        <f t="array" ref="I168">+_xlfn.XLOOKUP(Tabla9[[#This Row],[ESPACIO ACADÉMICO DESTINO]]&amp;Tabla9[[#This Row],[PROGRAMA DESTINO]],Tabla49[ESPACIO ACADÉMICO DESTINO]&amp;Tabla49[PROGRAMA],Tabla49[CRÉDITOS],"")</f>
        <v>2</v>
      </c>
      <c r="J168" s="14">
        <v>4.5</v>
      </c>
      <c r="K168" s="10" t="s">
        <v>80</v>
      </c>
      <c r="X168" s="52" t="s">
        <v>100</v>
      </c>
      <c r="Y168" s="10">
        <v>16886</v>
      </c>
      <c r="Z168" s="10" t="s">
        <v>380</v>
      </c>
      <c r="AA168" s="10">
        <v>3</v>
      </c>
    </row>
    <row r="169" spans="3:27" ht="45" x14ac:dyDescent="0.25">
      <c r="C169" s="1" t="str">
        <f>_xlfn.XLOOKUP(Tabla9[[#This Row],[PROGRAMA ORIGEN]],PROGRAMAS_N[PROGRAMAS ORIGEN],PROGRAMAS_N[NIVEL],"")</f>
        <v>TÉCNICO</v>
      </c>
      <c r="D169" s="16" t="s">
        <v>151</v>
      </c>
      <c r="E169" s="14">
        <v>250801015</v>
      </c>
      <c r="F169" s="10" t="s">
        <v>378</v>
      </c>
      <c r="G169" s="10" cm="1">
        <f t="array" ref="G169">+_xlfn.XLOOKUP(Tabla9[[#This Row],[ESPACIO ACADÉMICO DESTINO]]&amp;Tabla9[[#This Row],[PROGRAMA DESTINO]],Tabla49[ESPACIO ACADÉMICO DESTINO]&amp;Tabla49[PROGRAMA],Tabla49[CÓDIGO],"")</f>
        <v>50004</v>
      </c>
      <c r="H169" s="10" t="s">
        <v>326</v>
      </c>
      <c r="I169" s="14" cm="1">
        <f t="array" ref="I169">+_xlfn.XLOOKUP(Tabla9[[#This Row],[ESPACIO ACADÉMICO DESTINO]]&amp;Tabla9[[#This Row],[PROGRAMA DESTINO]],Tabla49[ESPACIO ACADÉMICO DESTINO]&amp;Tabla49[PROGRAMA],Tabla49[CRÉDITOS],"")</f>
        <v>2</v>
      </c>
      <c r="J169" s="14">
        <v>4.5</v>
      </c>
      <c r="K169" s="10" t="s">
        <v>80</v>
      </c>
      <c r="X169" s="52" t="s">
        <v>100</v>
      </c>
      <c r="Y169" s="10">
        <v>73430</v>
      </c>
      <c r="Z169" s="10" t="s">
        <v>381</v>
      </c>
      <c r="AA169" s="10">
        <v>3</v>
      </c>
    </row>
    <row r="170" spans="3:27" ht="45" x14ac:dyDescent="0.25">
      <c r="C170" s="1" t="str">
        <f>_xlfn.XLOOKUP(Tabla9[[#This Row],[PROGRAMA ORIGEN]],PROGRAMAS_N[PROGRAMAS ORIGEN],PROGRAMAS_N[NIVEL],"")</f>
        <v>TÉCNICO</v>
      </c>
      <c r="D170" s="16" t="s">
        <v>152</v>
      </c>
      <c r="E170" s="14">
        <v>250801011</v>
      </c>
      <c r="F170" s="10" t="s">
        <v>340</v>
      </c>
      <c r="G170" s="10" cm="1">
        <f t="array" ref="G170">+_xlfn.XLOOKUP(Tabla9[[#This Row],[ESPACIO ACADÉMICO DESTINO]]&amp;Tabla9[[#This Row],[PROGRAMA DESTINO]],Tabla49[ESPACIO ACADÉMICO DESTINO]&amp;Tabla49[PROGRAMA],Tabla49[CÓDIGO],"")</f>
        <v>50205</v>
      </c>
      <c r="H170" s="10" t="s">
        <v>306</v>
      </c>
      <c r="I170" s="14" cm="1">
        <f t="array" ref="I170">+_xlfn.XLOOKUP(Tabla9[[#This Row],[ESPACIO ACADÉMICO DESTINO]]&amp;Tabla9[[#This Row],[PROGRAMA DESTINO]],Tabla49[ESPACIO ACADÉMICO DESTINO]&amp;Tabla49[PROGRAMA],Tabla49[CRÉDITOS],"")</f>
        <v>2</v>
      </c>
      <c r="J170" s="14">
        <v>4.5</v>
      </c>
      <c r="K170" s="10" t="s">
        <v>80</v>
      </c>
      <c r="X170" s="52" t="s">
        <v>100</v>
      </c>
      <c r="Y170" s="10">
        <v>16890</v>
      </c>
      <c r="Z170" s="10" t="s">
        <v>382</v>
      </c>
      <c r="AA170" s="10">
        <v>4</v>
      </c>
    </row>
    <row r="171" spans="3:27" ht="45" x14ac:dyDescent="0.25">
      <c r="C171" s="1" t="str">
        <f>_xlfn.XLOOKUP(Tabla9[[#This Row],[PROGRAMA ORIGEN]],PROGRAMAS_N[PROGRAMAS ORIGEN],PROGRAMAS_N[NIVEL],"")</f>
        <v>TÉCNICO</v>
      </c>
      <c r="D171" s="16" t="s">
        <v>152</v>
      </c>
      <c r="E171" s="14">
        <v>250801011</v>
      </c>
      <c r="F171" s="10" t="s">
        <v>340</v>
      </c>
      <c r="G171" s="10" cm="1">
        <f t="array" ref="G171">+_xlfn.XLOOKUP(Tabla9[[#This Row],[ESPACIO ACADÉMICO DESTINO]]&amp;Tabla9[[#This Row],[PROGRAMA DESTINO]],Tabla49[ESPACIO ACADÉMICO DESTINO]&amp;Tabla49[PROGRAMA],Tabla49[CÓDIGO],"")</f>
        <v>50101</v>
      </c>
      <c r="H171" s="10" t="s">
        <v>308</v>
      </c>
      <c r="I171" s="14" cm="1">
        <f t="array" ref="I171">+_xlfn.XLOOKUP(Tabla9[[#This Row],[ESPACIO ACADÉMICO DESTINO]]&amp;Tabla9[[#This Row],[PROGRAMA DESTINO]],Tabla49[ESPACIO ACADÉMICO DESTINO]&amp;Tabla49[PROGRAMA],Tabla49[CRÉDITOS],"")</f>
        <v>2</v>
      </c>
      <c r="J171" s="14">
        <v>4.5</v>
      </c>
      <c r="K171" s="10" t="s">
        <v>80</v>
      </c>
      <c r="X171" s="52" t="s">
        <v>100</v>
      </c>
      <c r="Y171" s="10">
        <v>16884</v>
      </c>
      <c r="Z171" s="10" t="s">
        <v>383</v>
      </c>
      <c r="AA171" s="10">
        <v>3</v>
      </c>
    </row>
    <row r="172" spans="3:27" ht="45" x14ac:dyDescent="0.25">
      <c r="C172" s="1" t="str">
        <f>_xlfn.XLOOKUP(Tabla9[[#This Row],[PROGRAMA ORIGEN]],PROGRAMAS_N[PROGRAMAS ORIGEN],PROGRAMAS_N[NIVEL],"")</f>
        <v>TÉCNICO</v>
      </c>
      <c r="D172" s="16" t="s">
        <v>152</v>
      </c>
      <c r="E172" s="14">
        <v>250801011</v>
      </c>
      <c r="F172" s="10" t="s">
        <v>340</v>
      </c>
      <c r="G172" s="10" cm="1">
        <f t="array" ref="G172">+_xlfn.XLOOKUP(Tabla9[[#This Row],[ESPACIO ACADÉMICO DESTINO]]&amp;Tabla9[[#This Row],[PROGRAMA DESTINO]],Tabla49[ESPACIO ACADÉMICO DESTINO]&amp;Tabla49[PROGRAMA],Tabla49[CÓDIGO],"")</f>
        <v>50006</v>
      </c>
      <c r="H172" s="10" t="s">
        <v>353</v>
      </c>
      <c r="I172" s="14" cm="1">
        <f t="array" ref="I172">+_xlfn.XLOOKUP(Tabla9[[#This Row],[ESPACIO ACADÉMICO DESTINO]]&amp;Tabla9[[#This Row],[PROGRAMA DESTINO]],Tabla49[ESPACIO ACADÉMICO DESTINO]&amp;Tabla49[PROGRAMA],Tabla49[CRÉDITOS],"")</f>
        <v>2</v>
      </c>
      <c r="J172" s="14">
        <v>4.5</v>
      </c>
      <c r="K172" s="10" t="s">
        <v>80</v>
      </c>
      <c r="X172" s="52" t="s">
        <v>100</v>
      </c>
      <c r="Y172" s="10">
        <v>16854</v>
      </c>
      <c r="Z172" s="10" t="s">
        <v>384</v>
      </c>
      <c r="AA172" s="10">
        <v>3</v>
      </c>
    </row>
    <row r="173" spans="3:27" ht="45" x14ac:dyDescent="0.25">
      <c r="C173" s="1" t="str">
        <f>_xlfn.XLOOKUP(Tabla9[[#This Row],[PROGRAMA ORIGEN]],PROGRAMAS_N[PROGRAMAS ORIGEN],PROGRAMAS_N[NIVEL],"")</f>
        <v>TÉCNICO</v>
      </c>
      <c r="D173" s="16" t="s">
        <v>152</v>
      </c>
      <c r="E173" s="14">
        <v>250801011</v>
      </c>
      <c r="F173" s="10" t="s">
        <v>317</v>
      </c>
      <c r="G173" s="10" cm="1">
        <f t="array" ref="G173">+_xlfn.XLOOKUP(Tabla9[[#This Row],[ESPACIO ACADÉMICO DESTINO]]&amp;Tabla9[[#This Row],[PROGRAMA DESTINO]],Tabla49[ESPACIO ACADÉMICO DESTINO]&amp;Tabla49[PROGRAMA],Tabla49[CÓDIGO],"")</f>
        <v>50302</v>
      </c>
      <c r="H173" s="10" t="s">
        <v>318</v>
      </c>
      <c r="I173" s="14" cm="1">
        <f t="array" ref="I173">+_xlfn.XLOOKUP(Tabla9[[#This Row],[ESPACIO ACADÉMICO DESTINO]]&amp;Tabla9[[#This Row],[PROGRAMA DESTINO]],Tabla49[ESPACIO ACADÉMICO DESTINO]&amp;Tabla49[PROGRAMA],Tabla49[CRÉDITOS],"")</f>
        <v>2</v>
      </c>
      <c r="J173" s="14">
        <v>4.5</v>
      </c>
      <c r="K173" s="10" t="s">
        <v>80</v>
      </c>
      <c r="X173" s="52" t="s">
        <v>100</v>
      </c>
      <c r="Y173" s="10">
        <v>16891</v>
      </c>
      <c r="Z173" s="10" t="s">
        <v>385</v>
      </c>
      <c r="AA173" s="10">
        <v>4</v>
      </c>
    </row>
    <row r="174" spans="3:27" ht="45" x14ac:dyDescent="0.25">
      <c r="C174" s="1" t="str">
        <f>_xlfn.XLOOKUP(Tabla9[[#This Row],[PROGRAMA ORIGEN]],PROGRAMAS_N[PROGRAMAS ORIGEN],PROGRAMAS_N[NIVEL],"")</f>
        <v>TÉCNICO</v>
      </c>
      <c r="D174" s="16" t="s">
        <v>152</v>
      </c>
      <c r="E174" s="14">
        <v>250801011</v>
      </c>
      <c r="F174" s="10" t="s">
        <v>340</v>
      </c>
      <c r="G174" s="10" cm="1">
        <f t="array" ref="G174">+_xlfn.XLOOKUP(Tabla9[[#This Row],[ESPACIO ACADÉMICO DESTINO]]&amp;Tabla9[[#This Row],[PROGRAMA DESTINO]],Tabla49[ESPACIO ACADÉMICO DESTINO]&amp;Tabla49[PROGRAMA],Tabla49[CÓDIGO],"")</f>
        <v>50141</v>
      </c>
      <c r="H174" s="10" t="s">
        <v>348</v>
      </c>
      <c r="I174" s="14" cm="1">
        <f t="array" ref="I174">+_xlfn.XLOOKUP(Tabla9[[#This Row],[ESPACIO ACADÉMICO DESTINO]]&amp;Tabla9[[#This Row],[PROGRAMA DESTINO]],Tabla49[ESPACIO ACADÉMICO DESTINO]&amp;Tabla49[PROGRAMA],Tabla49[CRÉDITOS],"")</f>
        <v>3</v>
      </c>
      <c r="J174" s="14">
        <v>4.5</v>
      </c>
      <c r="K174" s="10" t="s">
        <v>80</v>
      </c>
      <c r="X174" s="52" t="s">
        <v>100</v>
      </c>
      <c r="Y174" s="10">
        <v>73431</v>
      </c>
      <c r="Z174" s="10" t="s">
        <v>386</v>
      </c>
      <c r="AA174" s="10">
        <v>3</v>
      </c>
    </row>
    <row r="175" spans="3:27" ht="45" x14ac:dyDescent="0.25">
      <c r="C175" s="1" t="str">
        <f>_xlfn.XLOOKUP(Tabla9[[#This Row],[PROGRAMA ORIGEN]],PROGRAMAS_N[PROGRAMAS ORIGEN],PROGRAMAS_N[NIVEL],"")</f>
        <v>TÉCNICO</v>
      </c>
      <c r="D175" s="16" t="s">
        <v>152</v>
      </c>
      <c r="E175" s="14">
        <v>250801011</v>
      </c>
      <c r="F175" s="10" t="s">
        <v>340</v>
      </c>
      <c r="G175" s="10" cm="1">
        <f t="array" ref="G175">+_xlfn.XLOOKUP(Tabla9[[#This Row],[ESPACIO ACADÉMICO DESTINO]]&amp;Tabla9[[#This Row],[PROGRAMA DESTINO]],Tabla49[ESPACIO ACADÉMICO DESTINO]&amp;Tabla49[PROGRAMA],Tabla49[CÓDIGO],"")</f>
        <v>50011</v>
      </c>
      <c r="H175" s="10" t="s">
        <v>312</v>
      </c>
      <c r="I175" s="14" cm="1">
        <f t="array" ref="I175">+_xlfn.XLOOKUP(Tabla9[[#This Row],[ESPACIO ACADÉMICO DESTINO]]&amp;Tabla9[[#This Row],[PROGRAMA DESTINO]],Tabla49[ESPACIO ACADÉMICO DESTINO]&amp;Tabla49[PROGRAMA],Tabla49[CRÉDITOS],"")</f>
        <v>2</v>
      </c>
      <c r="J175" s="14">
        <v>4.5</v>
      </c>
      <c r="K175" s="10" t="s">
        <v>80</v>
      </c>
      <c r="X175" s="52" t="s">
        <v>100</v>
      </c>
      <c r="Y175" s="10">
        <v>73432</v>
      </c>
      <c r="Z175" s="10" t="s">
        <v>387</v>
      </c>
      <c r="AA175" s="10">
        <v>3</v>
      </c>
    </row>
    <row r="176" spans="3:27" ht="45" x14ac:dyDescent="0.25">
      <c r="C176" s="1" t="str">
        <f>_xlfn.XLOOKUP(Tabla9[[#This Row],[PROGRAMA ORIGEN]],PROGRAMAS_N[PROGRAMAS ORIGEN],PROGRAMAS_N[NIVEL],"")</f>
        <v>TECNÓLOGO</v>
      </c>
      <c r="D176" s="16" t="s">
        <v>123</v>
      </c>
      <c r="E176" s="14">
        <v>280301014</v>
      </c>
      <c r="F176" s="10" t="s">
        <v>388</v>
      </c>
      <c r="G176" s="10" cm="1">
        <f t="array" ref="G176">+_xlfn.XLOOKUP(Tabla9[[#This Row],[ESPACIO ACADÉMICO DESTINO]]&amp;Tabla9[[#This Row],[PROGRAMA DESTINO]],Tabla49[ESPACIO ACADÉMICO DESTINO]&amp;Tabla49[PROGRAMA],Tabla49[CÓDIGO],"")</f>
        <v>73249</v>
      </c>
      <c r="H176" s="10" t="s">
        <v>231</v>
      </c>
      <c r="I176" s="14" cm="1">
        <f t="array" ref="I176">+_xlfn.XLOOKUP(Tabla9[[#This Row],[ESPACIO ACADÉMICO DESTINO]]&amp;Tabla9[[#This Row],[PROGRAMA DESTINO]],Tabla49[ESPACIO ACADÉMICO DESTINO]&amp;Tabla49[PROGRAMA],Tabla49[CRÉDITOS],"")</f>
        <v>3</v>
      </c>
      <c r="J176" s="14">
        <v>4.5</v>
      </c>
      <c r="K176" s="10" t="s">
        <v>73</v>
      </c>
      <c r="X176" s="52" t="s">
        <v>107</v>
      </c>
      <c r="Y176" s="10">
        <v>15135</v>
      </c>
      <c r="Z176" s="10" t="s">
        <v>56</v>
      </c>
      <c r="AA176" s="10">
        <v>2</v>
      </c>
    </row>
    <row r="177" spans="3:27" ht="45" x14ac:dyDescent="0.25">
      <c r="C177" s="1" t="str">
        <f>_xlfn.XLOOKUP(Tabla9[[#This Row],[PROGRAMA ORIGEN]],PROGRAMAS_N[PROGRAMAS ORIGEN],PROGRAMAS_N[NIVEL],"")</f>
        <v>TECNÓLOGO</v>
      </c>
      <c r="D177" s="16" t="s">
        <v>123</v>
      </c>
      <c r="E177" s="14">
        <v>280301014</v>
      </c>
      <c r="F177" s="10" t="s">
        <v>388</v>
      </c>
      <c r="G177" s="10" cm="1">
        <f t="array" ref="G177">+_xlfn.XLOOKUP(Tabla9[[#This Row],[ESPACIO ACADÉMICO DESTINO]]&amp;Tabla9[[#This Row],[PROGRAMA DESTINO]],Tabla49[ESPACIO ACADÉMICO DESTINO]&amp;Tabla49[PROGRAMA],Tabla49[CÓDIGO],"")</f>
        <v>48242</v>
      </c>
      <c r="H177" s="10" t="s">
        <v>233</v>
      </c>
      <c r="I177" s="14" cm="1">
        <f t="array" ref="I177">+_xlfn.XLOOKUP(Tabla9[[#This Row],[ESPACIO ACADÉMICO DESTINO]]&amp;Tabla9[[#This Row],[PROGRAMA DESTINO]],Tabla49[ESPACIO ACADÉMICO DESTINO]&amp;Tabla49[PROGRAMA],Tabla49[CRÉDITOS],"")</f>
        <v>3</v>
      </c>
      <c r="J177" s="14">
        <v>4.5</v>
      </c>
      <c r="K177" s="10" t="s">
        <v>73</v>
      </c>
      <c r="X177" s="52" t="s">
        <v>107</v>
      </c>
      <c r="Y177" s="10">
        <v>16320</v>
      </c>
      <c r="Z177" s="10" t="s">
        <v>389</v>
      </c>
      <c r="AA177" s="10">
        <v>2</v>
      </c>
    </row>
    <row r="178" spans="3:27" ht="45" x14ac:dyDescent="0.25">
      <c r="C178" s="1" t="str">
        <f>_xlfn.XLOOKUP(Tabla9[[#This Row],[PROGRAMA ORIGEN]],PROGRAMAS_N[PROGRAMAS ORIGEN],PROGRAMAS_N[NIVEL],"")</f>
        <v>TECNÓLOGO</v>
      </c>
      <c r="D178" s="16" t="s">
        <v>123</v>
      </c>
      <c r="E178" s="14">
        <v>240201500</v>
      </c>
      <c r="F178" s="10" t="s">
        <v>390</v>
      </c>
      <c r="G178" s="10" cm="1">
        <f t="array" ref="G178">+_xlfn.XLOOKUP(Tabla9[[#This Row],[ESPACIO ACADÉMICO DESTINO]]&amp;Tabla9[[#This Row],[PROGRAMA DESTINO]],Tabla49[ESPACIO ACADÉMICO DESTINO]&amp;Tabla49[PROGRAMA],Tabla49[CÓDIGO],"")</f>
        <v>15135</v>
      </c>
      <c r="H178" s="10" t="s">
        <v>56</v>
      </c>
      <c r="I178" s="14" cm="1">
        <f t="array" ref="I178">+_xlfn.XLOOKUP(Tabla9[[#This Row],[ESPACIO ACADÉMICO DESTINO]]&amp;Tabla9[[#This Row],[PROGRAMA DESTINO]],Tabla49[ESPACIO ACADÉMICO DESTINO]&amp;Tabla49[PROGRAMA],Tabla49[CRÉDITOS],"")</f>
        <v>2</v>
      </c>
      <c r="J178" s="14">
        <v>4.5</v>
      </c>
      <c r="K178" s="10" t="s">
        <v>73</v>
      </c>
      <c r="X178" s="52" t="s">
        <v>107</v>
      </c>
      <c r="Y178" s="10">
        <v>16690</v>
      </c>
      <c r="Z178" s="10" t="s">
        <v>391</v>
      </c>
      <c r="AA178" s="10">
        <v>2</v>
      </c>
    </row>
    <row r="179" spans="3:27" ht="45" x14ac:dyDescent="0.25">
      <c r="C179" s="1" t="str">
        <f>_xlfn.XLOOKUP(Tabla9[[#This Row],[PROGRAMA ORIGEN]],PROGRAMAS_N[PROGRAMAS ORIGEN],PROGRAMAS_N[NIVEL],"")</f>
        <v>TECNÓLOGO</v>
      </c>
      <c r="D179" s="16" t="s">
        <v>123</v>
      </c>
      <c r="E179" s="14">
        <v>280301058</v>
      </c>
      <c r="F179" s="10" t="s">
        <v>392</v>
      </c>
      <c r="G179" s="10" cm="1">
        <f t="array" ref="G179">+_xlfn.XLOOKUP(Tabla9[[#This Row],[ESPACIO ACADÉMICO DESTINO]]&amp;Tabla9[[#This Row],[PROGRAMA DESTINO]],Tabla49[ESPACIO ACADÉMICO DESTINO]&amp;Tabla49[PROGRAMA],Tabla49[CÓDIGO],"")</f>
        <v>48245</v>
      </c>
      <c r="H179" s="10" t="s">
        <v>245</v>
      </c>
      <c r="I179" s="14" cm="1">
        <f t="array" ref="I179">+_xlfn.XLOOKUP(Tabla9[[#This Row],[ESPACIO ACADÉMICO DESTINO]]&amp;Tabla9[[#This Row],[PROGRAMA DESTINO]],Tabla49[ESPACIO ACADÉMICO DESTINO]&amp;Tabla49[PROGRAMA],Tabla49[CRÉDITOS],"")</f>
        <v>3</v>
      </c>
      <c r="J179" s="14">
        <v>4.5</v>
      </c>
      <c r="K179" s="10" t="s">
        <v>73</v>
      </c>
      <c r="X179" s="52" t="s">
        <v>107</v>
      </c>
      <c r="Y179" s="10">
        <v>16715</v>
      </c>
      <c r="Z179" s="10" t="s">
        <v>393</v>
      </c>
      <c r="AA179" s="10">
        <v>3</v>
      </c>
    </row>
    <row r="180" spans="3:27" ht="45" x14ac:dyDescent="0.25">
      <c r="C180" s="1" t="str">
        <f>_xlfn.XLOOKUP(Tabla9[[#This Row],[PROGRAMA ORIGEN]],PROGRAMAS_N[PROGRAMAS ORIGEN],PROGRAMAS_N[NIVEL],"")</f>
        <v>TECNÓLOGO</v>
      </c>
      <c r="D180" s="16" t="s">
        <v>123</v>
      </c>
      <c r="E180" s="14">
        <v>280301085</v>
      </c>
      <c r="F180" s="10" t="s">
        <v>394</v>
      </c>
      <c r="G180" s="10" cm="1">
        <f t="array" ref="G180">+_xlfn.XLOOKUP(Tabla9[[#This Row],[ESPACIO ACADÉMICO DESTINO]]&amp;Tabla9[[#This Row],[PROGRAMA DESTINO]],Tabla49[ESPACIO ACADÉMICO DESTINO]&amp;Tabla49[PROGRAMA],Tabla49[CÓDIGO],"")</f>
        <v>48272</v>
      </c>
      <c r="H180" s="10" t="s">
        <v>253</v>
      </c>
      <c r="I180" s="14" cm="1">
        <f t="array" ref="I180">+_xlfn.XLOOKUP(Tabla9[[#This Row],[ESPACIO ACADÉMICO DESTINO]]&amp;Tabla9[[#This Row],[PROGRAMA DESTINO]],Tabla49[ESPACIO ACADÉMICO DESTINO]&amp;Tabla49[PROGRAMA],Tabla49[CRÉDITOS],"")</f>
        <v>2</v>
      </c>
      <c r="J180" s="14">
        <v>4.5</v>
      </c>
      <c r="K180" s="10" t="s">
        <v>73</v>
      </c>
      <c r="X180" s="52" t="s">
        <v>107</v>
      </c>
      <c r="Y180" s="10">
        <v>73619</v>
      </c>
      <c r="Z180" s="10" t="s">
        <v>395</v>
      </c>
      <c r="AA180" s="10">
        <v>2</v>
      </c>
    </row>
    <row r="181" spans="3:27" ht="45" x14ac:dyDescent="0.25">
      <c r="C181" s="1" t="str">
        <f>_xlfn.XLOOKUP(Tabla9[[#This Row],[PROGRAMA ORIGEN]],PROGRAMAS_N[PROGRAMAS ORIGEN],PROGRAMAS_N[NIVEL],"")</f>
        <v>TECNÓLOGO</v>
      </c>
      <c r="D181" s="16" t="s">
        <v>123</v>
      </c>
      <c r="E181" s="14">
        <v>280301021</v>
      </c>
      <c r="F181" s="10" t="s">
        <v>396</v>
      </c>
      <c r="G181" s="10" cm="1">
        <f t="array" ref="G181">+_xlfn.XLOOKUP(Tabla9[[#This Row],[ESPACIO ACADÉMICO DESTINO]]&amp;Tabla9[[#This Row],[PROGRAMA DESTINO]],Tabla49[ESPACIO ACADÉMICO DESTINO]&amp;Tabla49[PROGRAMA],Tabla49[CÓDIGO],"")</f>
        <v>48246</v>
      </c>
      <c r="H181" s="10" t="s">
        <v>258</v>
      </c>
      <c r="I181" s="14" cm="1">
        <f t="array" ref="I181">+_xlfn.XLOOKUP(Tabla9[[#This Row],[ESPACIO ACADÉMICO DESTINO]]&amp;Tabla9[[#This Row],[PROGRAMA DESTINO]],Tabla49[ESPACIO ACADÉMICO DESTINO]&amp;Tabla49[PROGRAMA],Tabla49[CRÉDITOS],"")</f>
        <v>3</v>
      </c>
      <c r="J181" s="14">
        <v>4.5</v>
      </c>
      <c r="K181" s="10" t="s">
        <v>73</v>
      </c>
      <c r="X181" s="52" t="s">
        <v>107</v>
      </c>
      <c r="Y181" s="10">
        <v>95108</v>
      </c>
      <c r="Z181" s="10" t="s">
        <v>101</v>
      </c>
      <c r="AA181" s="10">
        <v>2</v>
      </c>
    </row>
    <row r="182" spans="3:27" ht="45" x14ac:dyDescent="0.25">
      <c r="C182" s="1" t="str">
        <f>_xlfn.XLOOKUP(Tabla9[[#This Row],[PROGRAMA ORIGEN]],PROGRAMAS_N[PROGRAMAS ORIGEN],PROGRAMAS_N[NIVEL],"")</f>
        <v>TECNÓLOGO</v>
      </c>
      <c r="D182" s="16" t="s">
        <v>123</v>
      </c>
      <c r="E182" s="14">
        <v>28301014</v>
      </c>
      <c r="F182" s="10" t="s">
        <v>388</v>
      </c>
      <c r="G182" s="10" cm="1">
        <f t="array" ref="G182">+_xlfn.XLOOKUP(Tabla9[[#This Row],[ESPACIO ACADÉMICO DESTINO]]&amp;Tabla9[[#This Row],[PROGRAMA DESTINO]],Tabla49[ESPACIO ACADÉMICO DESTINO]&amp;Tabla49[PROGRAMA],Tabla49[CÓDIGO],"")</f>
        <v>48247</v>
      </c>
      <c r="H182" s="10" t="s">
        <v>259</v>
      </c>
      <c r="I182" s="14" cm="1">
        <f t="array" ref="I182">+_xlfn.XLOOKUP(Tabla9[[#This Row],[ESPACIO ACADÉMICO DESTINO]]&amp;Tabla9[[#This Row],[PROGRAMA DESTINO]],Tabla49[ESPACIO ACADÉMICO DESTINO]&amp;Tabla49[PROGRAMA],Tabla49[CRÉDITOS],"")</f>
        <v>3</v>
      </c>
      <c r="J182" s="14">
        <v>4.5</v>
      </c>
      <c r="K182" s="10" t="s">
        <v>73</v>
      </c>
      <c r="X182" s="52" t="s">
        <v>107</v>
      </c>
      <c r="Y182" s="8">
        <v>96201</v>
      </c>
      <c r="Z182" s="8" t="s">
        <v>242</v>
      </c>
      <c r="AA182" s="8">
        <v>3</v>
      </c>
    </row>
    <row r="183" spans="3:27" ht="45" x14ac:dyDescent="0.25">
      <c r="C183" s="1" t="str">
        <f>_xlfn.XLOOKUP(Tabla9[[#This Row],[PROGRAMA ORIGEN]],PROGRAMAS_N[PROGRAMAS ORIGEN],PROGRAMAS_N[NIVEL],"")</f>
        <v>TECNÓLOGO</v>
      </c>
      <c r="D183" s="16" t="s">
        <v>123</v>
      </c>
      <c r="E183" s="14">
        <v>28030121</v>
      </c>
      <c r="F183" s="10" t="s">
        <v>396</v>
      </c>
      <c r="G183" s="10" cm="1">
        <f t="array" ref="G183">+_xlfn.XLOOKUP(Tabla9[[#This Row],[ESPACIO ACADÉMICO DESTINO]]&amp;Tabla9[[#This Row],[PROGRAMA DESTINO]],Tabla49[ESPACIO ACADÉMICO DESTINO]&amp;Tabla49[PROGRAMA],Tabla49[CÓDIGO],"")</f>
        <v>48249</v>
      </c>
      <c r="H183" s="10" t="s">
        <v>263</v>
      </c>
      <c r="I183" s="14" cm="1">
        <f t="array" ref="I183">+_xlfn.XLOOKUP(Tabla9[[#This Row],[ESPACIO ACADÉMICO DESTINO]]&amp;Tabla9[[#This Row],[PROGRAMA DESTINO]],Tabla49[ESPACIO ACADÉMICO DESTINO]&amp;Tabla49[PROGRAMA],Tabla49[CRÉDITOS],"")</f>
        <v>3</v>
      </c>
      <c r="J183" s="14">
        <v>4.5</v>
      </c>
      <c r="K183" s="10" t="s">
        <v>73</v>
      </c>
      <c r="X183" s="52" t="s">
        <v>107</v>
      </c>
      <c r="Y183" s="8">
        <v>16924</v>
      </c>
      <c r="Z183" s="8" t="s">
        <v>397</v>
      </c>
      <c r="AA183" s="8">
        <v>2</v>
      </c>
    </row>
    <row r="184" spans="3:27" ht="45" x14ac:dyDescent="0.25">
      <c r="C184" s="1" t="str">
        <f>_xlfn.XLOOKUP(Tabla9[[#This Row],[PROGRAMA ORIGEN]],PROGRAMAS_N[PROGRAMAS ORIGEN],PROGRAMAS_N[NIVEL],"")</f>
        <v>TECNÓLOGO</v>
      </c>
      <c r="D184" s="16" t="s">
        <v>123</v>
      </c>
      <c r="E184" s="14">
        <v>280301086</v>
      </c>
      <c r="F184" s="10" t="s">
        <v>398</v>
      </c>
      <c r="G184" s="10" cm="1">
        <f t="array" ref="G184">+_xlfn.XLOOKUP(Tabla9[[#This Row],[ESPACIO ACADÉMICO DESTINO]]&amp;Tabla9[[#This Row],[PROGRAMA DESTINO]],Tabla49[ESPACIO ACADÉMICO DESTINO]&amp;Tabla49[PROGRAMA],Tabla49[CÓDIGO],"")</f>
        <v>48253</v>
      </c>
      <c r="H184" s="10" t="s">
        <v>275</v>
      </c>
      <c r="I184" s="14" cm="1">
        <f t="array" ref="I184">+_xlfn.XLOOKUP(Tabla9[[#This Row],[ESPACIO ACADÉMICO DESTINO]]&amp;Tabla9[[#This Row],[PROGRAMA DESTINO]],Tabla49[ESPACIO ACADÉMICO DESTINO]&amp;Tabla49[PROGRAMA],Tabla49[CRÉDITOS],"")</f>
        <v>2</v>
      </c>
      <c r="J184" s="14">
        <v>4.5</v>
      </c>
      <c r="K184" s="10" t="s">
        <v>73</v>
      </c>
      <c r="X184" s="52" t="s">
        <v>107</v>
      </c>
      <c r="Y184" s="8">
        <v>73620</v>
      </c>
      <c r="Z184" s="8" t="s">
        <v>351</v>
      </c>
      <c r="AA184" s="8">
        <v>2</v>
      </c>
    </row>
    <row r="185" spans="3:27" ht="45" x14ac:dyDescent="0.25">
      <c r="C185" s="1" t="str">
        <f>_xlfn.XLOOKUP(Tabla9[[#This Row],[PROGRAMA ORIGEN]],PROGRAMAS_N[PROGRAMAS ORIGEN],PROGRAMAS_N[NIVEL],"")</f>
        <v>TECNÓLOGO</v>
      </c>
      <c r="D185" s="16" t="s">
        <v>123</v>
      </c>
      <c r="E185" s="14">
        <v>280301088</v>
      </c>
      <c r="F185" s="10" t="s">
        <v>399</v>
      </c>
      <c r="G185" s="10" cm="1">
        <f t="array" ref="G185">+_xlfn.XLOOKUP(Tabla9[[#This Row],[ESPACIO ACADÉMICO DESTINO]]&amp;Tabla9[[#This Row],[PROGRAMA DESTINO]],Tabla49[ESPACIO ACADÉMICO DESTINO]&amp;Tabla49[PROGRAMA],Tabla49[CÓDIGO],"")</f>
        <v>48257</v>
      </c>
      <c r="H185" s="10" t="s">
        <v>286</v>
      </c>
      <c r="I185" s="14" cm="1">
        <f t="array" ref="I185">+_xlfn.XLOOKUP(Tabla9[[#This Row],[ESPACIO ACADÉMICO DESTINO]]&amp;Tabla9[[#This Row],[PROGRAMA DESTINO]],Tabla49[ESPACIO ACADÉMICO DESTINO]&amp;Tabla49[PROGRAMA],Tabla49[CRÉDITOS],"")</f>
        <v>2</v>
      </c>
      <c r="J185" s="14">
        <v>4.5</v>
      </c>
      <c r="K185" s="10" t="s">
        <v>73</v>
      </c>
      <c r="X185" s="52" t="s">
        <v>107</v>
      </c>
      <c r="Y185" s="8">
        <v>73621</v>
      </c>
      <c r="Z185" s="8" t="s">
        <v>400</v>
      </c>
      <c r="AA185" s="8">
        <v>2</v>
      </c>
    </row>
    <row r="186" spans="3:27" ht="45" x14ac:dyDescent="0.25">
      <c r="C186" s="1" t="str">
        <f>_xlfn.XLOOKUP(Tabla9[[#This Row],[PROGRAMA ORIGEN]],PROGRAMAS_N[PROGRAMAS ORIGEN],PROGRAMAS_N[NIVEL],"")</f>
        <v>TECNÓLOGO</v>
      </c>
      <c r="D186" s="16" t="s">
        <v>123</v>
      </c>
      <c r="E186" s="14">
        <v>240201501</v>
      </c>
      <c r="F186" s="10" t="s">
        <v>390</v>
      </c>
      <c r="G186" s="10" cm="1">
        <f t="array" ref="G186">+_xlfn.XLOOKUP(Tabla9[[#This Row],[ESPACIO ACADÉMICO DESTINO]]&amp;Tabla9[[#This Row],[PROGRAMA DESTINO]],Tabla49[ESPACIO ACADÉMICO DESTINO]&amp;Tabla49[PROGRAMA],Tabla49[CÓDIGO],"")</f>
        <v>48260</v>
      </c>
      <c r="H186" s="10" t="s">
        <v>300</v>
      </c>
      <c r="I186" s="14" cm="1">
        <f t="array" ref="I186">+_xlfn.XLOOKUP(Tabla9[[#This Row],[ESPACIO ACADÉMICO DESTINO]]&amp;Tabla9[[#This Row],[PROGRAMA DESTINO]],Tabla49[ESPACIO ACADÉMICO DESTINO]&amp;Tabla49[PROGRAMA],Tabla49[CRÉDITOS],"")</f>
        <v>3</v>
      </c>
      <c r="J186" s="14">
        <v>4.5</v>
      </c>
      <c r="K186" s="10" t="s">
        <v>73</v>
      </c>
      <c r="X186" s="52" t="s">
        <v>107</v>
      </c>
      <c r="Y186" s="8">
        <v>95109</v>
      </c>
      <c r="Z186" s="8" t="s">
        <v>136</v>
      </c>
      <c r="AA186" s="8">
        <v>2</v>
      </c>
    </row>
    <row r="187" spans="3:27" ht="45" x14ac:dyDescent="0.25">
      <c r="C187" s="1" t="str">
        <f>_xlfn.XLOOKUP(Tabla9[[#This Row],[PROGRAMA ORIGEN]],PROGRAMAS_N[PROGRAMAS ORIGEN],PROGRAMAS_N[NIVEL],"")</f>
        <v>TECNÓLOGO</v>
      </c>
      <c r="D187" s="16" t="s">
        <v>155</v>
      </c>
      <c r="E187" s="14">
        <v>280301026</v>
      </c>
      <c r="F187" s="10" t="s">
        <v>401</v>
      </c>
      <c r="G187" s="10" cm="1">
        <f t="array" ref="G187">+_xlfn.XLOOKUP(Tabla9[[#This Row],[ESPACIO ACADÉMICO DESTINO]]&amp;Tabla9[[#This Row],[PROGRAMA DESTINO]],Tabla49[ESPACIO ACADÉMICO DESTINO]&amp;Tabla49[PROGRAMA],Tabla49[CÓDIGO],"")</f>
        <v>73249</v>
      </c>
      <c r="H187" s="10" t="s">
        <v>231</v>
      </c>
      <c r="I187" s="14" cm="1">
        <f t="array" ref="I187">+_xlfn.XLOOKUP(Tabla9[[#This Row],[ESPACIO ACADÉMICO DESTINO]]&amp;Tabla9[[#This Row],[PROGRAMA DESTINO]],Tabla49[ESPACIO ACADÉMICO DESTINO]&amp;Tabla49[PROGRAMA],Tabla49[CRÉDITOS],"")</f>
        <v>3</v>
      </c>
      <c r="J187" s="14">
        <v>4.5</v>
      </c>
      <c r="K187" s="10" t="s">
        <v>73</v>
      </c>
      <c r="X187" s="52" t="s">
        <v>107</v>
      </c>
      <c r="Y187" s="10">
        <v>96110</v>
      </c>
      <c r="Z187" s="10" t="s">
        <v>331</v>
      </c>
      <c r="AA187" s="10">
        <v>3</v>
      </c>
    </row>
    <row r="188" spans="3:27" ht="45" x14ac:dyDescent="0.25">
      <c r="C188" s="1" t="str">
        <f>_xlfn.XLOOKUP(Tabla9[[#This Row],[PROGRAMA ORIGEN]],PROGRAMAS_N[PROGRAMAS ORIGEN],PROGRAMAS_N[NIVEL],"")</f>
        <v>TECNÓLOGO</v>
      </c>
      <c r="D188" s="16" t="s">
        <v>155</v>
      </c>
      <c r="E188" s="14">
        <v>280301014</v>
      </c>
      <c r="F188" s="10" t="s">
        <v>388</v>
      </c>
      <c r="G188" s="10" cm="1">
        <f t="array" ref="G188">+_xlfn.XLOOKUP(Tabla9[[#This Row],[ESPACIO ACADÉMICO DESTINO]]&amp;Tabla9[[#This Row],[PROGRAMA DESTINO]],Tabla49[ESPACIO ACADÉMICO DESTINO]&amp;Tabla49[PROGRAMA],Tabla49[CÓDIGO],"")</f>
        <v>48242</v>
      </c>
      <c r="H188" s="10" t="s">
        <v>233</v>
      </c>
      <c r="I188" s="14" cm="1">
        <f t="array" ref="I188">+_xlfn.XLOOKUP(Tabla9[[#This Row],[ESPACIO ACADÉMICO DESTINO]]&amp;Tabla9[[#This Row],[PROGRAMA DESTINO]],Tabla49[ESPACIO ACADÉMICO DESTINO]&amp;Tabla49[PROGRAMA],Tabla49[CRÉDITOS],"")</f>
        <v>3</v>
      </c>
      <c r="J188" s="14">
        <v>4.5</v>
      </c>
      <c r="K188" s="10" t="s">
        <v>73</v>
      </c>
      <c r="X188" s="52" t="s">
        <v>107</v>
      </c>
      <c r="Y188" s="10">
        <v>96111</v>
      </c>
      <c r="Z188" s="10" t="s">
        <v>333</v>
      </c>
      <c r="AA188" s="10">
        <v>3</v>
      </c>
    </row>
    <row r="189" spans="3:27" ht="45" x14ac:dyDescent="0.25">
      <c r="C189" s="1" t="str">
        <f>_xlfn.XLOOKUP(Tabla9[[#This Row],[PROGRAMA ORIGEN]],PROGRAMAS_N[PROGRAMAS ORIGEN],PROGRAMAS_N[NIVEL],"")</f>
        <v>TECNÓLOGO</v>
      </c>
      <c r="D189" s="16" t="s">
        <v>155</v>
      </c>
      <c r="E189" s="14">
        <v>240201500</v>
      </c>
      <c r="F189" s="10" t="s">
        <v>390</v>
      </c>
      <c r="G189" s="10" cm="1">
        <f t="array" ref="G189">+_xlfn.XLOOKUP(Tabla9[[#This Row],[ESPACIO ACADÉMICO DESTINO]]&amp;Tabla9[[#This Row],[PROGRAMA DESTINO]],Tabla49[ESPACIO ACADÉMICO DESTINO]&amp;Tabla49[PROGRAMA],Tabla49[CÓDIGO],"")</f>
        <v>15135</v>
      </c>
      <c r="H189" s="10" t="s">
        <v>56</v>
      </c>
      <c r="I189" s="14" cm="1">
        <f t="array" ref="I189">+_xlfn.XLOOKUP(Tabla9[[#This Row],[ESPACIO ACADÉMICO DESTINO]]&amp;Tabla9[[#This Row],[PROGRAMA DESTINO]],Tabla49[ESPACIO ACADÉMICO DESTINO]&amp;Tabla49[PROGRAMA],Tabla49[CRÉDITOS],"")</f>
        <v>2</v>
      </c>
      <c r="J189" s="14">
        <v>4.5</v>
      </c>
      <c r="K189" s="10" t="s">
        <v>73</v>
      </c>
      <c r="X189" s="52" t="s">
        <v>107</v>
      </c>
      <c r="Y189" s="10">
        <v>96112</v>
      </c>
      <c r="Z189" s="10" t="s">
        <v>235</v>
      </c>
      <c r="AA189" s="10">
        <v>3</v>
      </c>
    </row>
    <row r="190" spans="3:27" ht="45" x14ac:dyDescent="0.25">
      <c r="C190" s="1" t="str">
        <f>_xlfn.XLOOKUP(Tabla9[[#This Row],[PROGRAMA ORIGEN]],PROGRAMAS_N[PROGRAMAS ORIGEN],PROGRAMAS_N[NIVEL],"")</f>
        <v>TECNÓLOGO</v>
      </c>
      <c r="D190" s="16" t="s">
        <v>155</v>
      </c>
      <c r="E190" s="14">
        <v>280301058</v>
      </c>
      <c r="F190" s="10" t="s">
        <v>392</v>
      </c>
      <c r="G190" s="10" cm="1">
        <f t="array" ref="G190">+_xlfn.XLOOKUP(Tabla9[[#This Row],[ESPACIO ACADÉMICO DESTINO]]&amp;Tabla9[[#This Row],[PROGRAMA DESTINO]],Tabla49[ESPACIO ACADÉMICO DESTINO]&amp;Tabla49[PROGRAMA],Tabla49[CÓDIGO],"")</f>
        <v>48245</v>
      </c>
      <c r="H190" s="10" t="s">
        <v>245</v>
      </c>
      <c r="I190" s="14" cm="1">
        <f t="array" ref="I190">+_xlfn.XLOOKUP(Tabla9[[#This Row],[ESPACIO ACADÉMICO DESTINO]]&amp;Tabla9[[#This Row],[PROGRAMA DESTINO]],Tabla49[ESPACIO ACADÉMICO DESTINO]&amp;Tabla49[PROGRAMA],Tabla49[CRÉDITOS],"")</f>
        <v>3</v>
      </c>
      <c r="J190" s="14">
        <v>4.5</v>
      </c>
      <c r="K190" s="10" t="s">
        <v>73</v>
      </c>
      <c r="X190" s="52" t="s">
        <v>107</v>
      </c>
      <c r="Y190" s="10">
        <v>16664</v>
      </c>
      <c r="Z190" s="10" t="s">
        <v>143</v>
      </c>
      <c r="AA190" s="10">
        <v>2</v>
      </c>
    </row>
    <row r="191" spans="3:27" ht="45" x14ac:dyDescent="0.25">
      <c r="C191" s="1" t="str">
        <f>_xlfn.XLOOKUP(Tabla9[[#This Row],[PROGRAMA ORIGEN]],PROGRAMAS_N[PROGRAMAS ORIGEN],PROGRAMAS_N[NIVEL],"")</f>
        <v>TECNÓLOGO</v>
      </c>
      <c r="D191" s="16" t="s">
        <v>155</v>
      </c>
      <c r="E191" s="14">
        <v>280301026</v>
      </c>
      <c r="F191" s="10" t="s">
        <v>401</v>
      </c>
      <c r="G191" s="10" cm="1">
        <f t="array" ref="G191">+_xlfn.XLOOKUP(Tabla9[[#This Row],[ESPACIO ACADÉMICO DESTINO]]&amp;Tabla9[[#This Row],[PROGRAMA DESTINO]],Tabla49[ESPACIO ACADÉMICO DESTINO]&amp;Tabla49[PROGRAMA],Tabla49[CÓDIGO],"")</f>
        <v>48272</v>
      </c>
      <c r="H191" s="10" t="s">
        <v>253</v>
      </c>
      <c r="I191" s="14" cm="1">
        <f t="array" ref="I191">+_xlfn.XLOOKUP(Tabla9[[#This Row],[ESPACIO ACADÉMICO DESTINO]]&amp;Tabla9[[#This Row],[PROGRAMA DESTINO]],Tabla49[ESPACIO ACADÉMICO DESTINO]&amp;Tabla49[PROGRAMA],Tabla49[CRÉDITOS],"")</f>
        <v>2</v>
      </c>
      <c r="J191" s="14">
        <v>4.5</v>
      </c>
      <c r="K191" s="10" t="s">
        <v>73</v>
      </c>
      <c r="X191" s="52" t="s">
        <v>107</v>
      </c>
      <c r="Y191" s="10">
        <v>16915</v>
      </c>
      <c r="Z191" s="10" t="s">
        <v>402</v>
      </c>
      <c r="AA191" s="10">
        <v>2</v>
      </c>
    </row>
    <row r="192" spans="3:27" ht="45" x14ac:dyDescent="0.25">
      <c r="C192" s="1" t="str">
        <f>_xlfn.XLOOKUP(Tabla9[[#This Row],[PROGRAMA ORIGEN]],PROGRAMAS_N[PROGRAMAS ORIGEN],PROGRAMAS_N[NIVEL],"")</f>
        <v>TECNÓLOGO</v>
      </c>
      <c r="D192" s="16" t="s">
        <v>155</v>
      </c>
      <c r="E192" s="14">
        <v>280301021</v>
      </c>
      <c r="F192" s="10" t="s">
        <v>403</v>
      </c>
      <c r="G192" s="10" cm="1">
        <f t="array" ref="G192">+_xlfn.XLOOKUP(Tabla9[[#This Row],[ESPACIO ACADÉMICO DESTINO]]&amp;Tabla9[[#This Row],[PROGRAMA DESTINO]],Tabla49[ESPACIO ACADÉMICO DESTINO]&amp;Tabla49[PROGRAMA],Tabla49[CÓDIGO],"")</f>
        <v>48246</v>
      </c>
      <c r="H192" s="10" t="s">
        <v>258</v>
      </c>
      <c r="I192" s="14" cm="1">
        <f t="array" ref="I192">+_xlfn.XLOOKUP(Tabla9[[#This Row],[ESPACIO ACADÉMICO DESTINO]]&amp;Tabla9[[#This Row],[PROGRAMA DESTINO]],Tabla49[ESPACIO ACADÉMICO DESTINO]&amp;Tabla49[PROGRAMA],Tabla49[CRÉDITOS],"")</f>
        <v>3</v>
      </c>
      <c r="J192" s="14">
        <v>4.5</v>
      </c>
      <c r="K192" s="10" t="s">
        <v>73</v>
      </c>
      <c r="X192" s="52" t="s">
        <v>107</v>
      </c>
      <c r="Y192" s="10">
        <v>73622</v>
      </c>
      <c r="Z192" s="10" t="s">
        <v>369</v>
      </c>
      <c r="AA192" s="10">
        <v>2</v>
      </c>
    </row>
    <row r="193" spans="3:27" ht="45" x14ac:dyDescent="0.25">
      <c r="C193" s="1" t="str">
        <f>_xlfn.XLOOKUP(Tabla9[[#This Row],[PROGRAMA ORIGEN]],PROGRAMAS_N[PROGRAMAS ORIGEN],PROGRAMAS_N[NIVEL],"")</f>
        <v>TECNÓLOGO</v>
      </c>
      <c r="D193" s="16" t="s">
        <v>155</v>
      </c>
      <c r="E193" s="14">
        <v>280301014</v>
      </c>
      <c r="F193" s="10" t="s">
        <v>388</v>
      </c>
      <c r="G193" s="10" cm="1">
        <f t="array" ref="G193">+_xlfn.XLOOKUP(Tabla9[[#This Row],[ESPACIO ACADÉMICO DESTINO]]&amp;Tabla9[[#This Row],[PROGRAMA DESTINO]],Tabla49[ESPACIO ACADÉMICO DESTINO]&amp;Tabla49[PROGRAMA],Tabla49[CÓDIGO],"")</f>
        <v>48247</v>
      </c>
      <c r="H193" s="10" t="s">
        <v>259</v>
      </c>
      <c r="I193" s="14" cm="1">
        <f t="array" ref="I193">+_xlfn.XLOOKUP(Tabla9[[#This Row],[ESPACIO ACADÉMICO DESTINO]]&amp;Tabla9[[#This Row],[PROGRAMA DESTINO]],Tabla49[ESPACIO ACADÉMICO DESTINO]&amp;Tabla49[PROGRAMA],Tabla49[CRÉDITOS],"")</f>
        <v>3</v>
      </c>
      <c r="J193" s="14">
        <v>4.5</v>
      </c>
      <c r="K193" s="10" t="s">
        <v>73</v>
      </c>
      <c r="X193" s="52" t="s">
        <v>107</v>
      </c>
      <c r="Y193" s="10">
        <v>73658</v>
      </c>
      <c r="Z193" s="10" t="s">
        <v>347</v>
      </c>
      <c r="AA193" s="10">
        <v>3</v>
      </c>
    </row>
    <row r="194" spans="3:27" ht="45" x14ac:dyDescent="0.25">
      <c r="C194" s="1" t="str">
        <f>_xlfn.XLOOKUP(Tabla9[[#This Row],[PROGRAMA ORIGEN]],PROGRAMAS_N[PROGRAMAS ORIGEN],PROGRAMAS_N[NIVEL],"")</f>
        <v>TECNÓLOGO</v>
      </c>
      <c r="D194" s="16" t="s">
        <v>155</v>
      </c>
      <c r="E194" s="14">
        <v>280301021</v>
      </c>
      <c r="F194" s="10" t="s">
        <v>403</v>
      </c>
      <c r="G194" s="10" cm="1">
        <f t="array" ref="G194">+_xlfn.XLOOKUP(Tabla9[[#This Row],[ESPACIO ACADÉMICO DESTINO]]&amp;Tabla9[[#This Row],[PROGRAMA DESTINO]],Tabla49[ESPACIO ACADÉMICO DESTINO]&amp;Tabla49[PROGRAMA],Tabla49[CÓDIGO],"")</f>
        <v>48249</v>
      </c>
      <c r="H194" s="10" t="s">
        <v>263</v>
      </c>
      <c r="I194" s="14" cm="1">
        <f t="array" ref="I194">+_xlfn.XLOOKUP(Tabla9[[#This Row],[ESPACIO ACADÉMICO DESTINO]]&amp;Tabla9[[#This Row],[PROGRAMA DESTINO]],Tabla49[ESPACIO ACADÉMICO DESTINO]&amp;Tabla49[PROGRAMA],Tabla49[CRÉDITOS],"")</f>
        <v>3</v>
      </c>
      <c r="J194" s="14">
        <v>4.5</v>
      </c>
      <c r="K194" s="10" t="s">
        <v>73</v>
      </c>
      <c r="X194" s="52" t="s">
        <v>107</v>
      </c>
      <c r="Y194" s="10">
        <v>95110</v>
      </c>
      <c r="Z194" s="10" t="s">
        <v>160</v>
      </c>
      <c r="AA194" s="10">
        <v>2</v>
      </c>
    </row>
    <row r="195" spans="3:27" ht="45" x14ac:dyDescent="0.25">
      <c r="C195" s="1" t="str">
        <f>_xlfn.XLOOKUP(Tabla9[[#This Row],[PROGRAMA ORIGEN]],PROGRAMAS_N[PROGRAMAS ORIGEN],PROGRAMAS_N[NIVEL],"")</f>
        <v>TECNÓLOGO</v>
      </c>
      <c r="D195" s="16" t="s">
        <v>155</v>
      </c>
      <c r="E195" s="14">
        <v>240201500</v>
      </c>
      <c r="F195" s="10" t="s">
        <v>390</v>
      </c>
      <c r="G195" s="10" cm="1">
        <f t="array" ref="G195">+_xlfn.XLOOKUP(Tabla9[[#This Row],[ESPACIO ACADÉMICO DESTINO]]&amp;Tabla9[[#This Row],[PROGRAMA DESTINO]],Tabla49[ESPACIO ACADÉMICO DESTINO]&amp;Tabla49[PROGRAMA],Tabla49[CÓDIGO],"")</f>
        <v>48260</v>
      </c>
      <c r="H195" s="10" t="s">
        <v>300</v>
      </c>
      <c r="I195" s="14" cm="1">
        <f t="array" ref="I195">+_xlfn.XLOOKUP(Tabla9[[#This Row],[ESPACIO ACADÉMICO DESTINO]]&amp;Tabla9[[#This Row],[PROGRAMA DESTINO]],Tabla49[ESPACIO ACADÉMICO DESTINO]&amp;Tabla49[PROGRAMA],Tabla49[CRÉDITOS],"")</f>
        <v>3</v>
      </c>
      <c r="J195" s="14">
        <v>4.5</v>
      </c>
      <c r="K195" s="10" t="s">
        <v>73</v>
      </c>
      <c r="X195" s="52" t="s">
        <v>107</v>
      </c>
      <c r="Y195" s="10">
        <v>96113</v>
      </c>
      <c r="Z195" s="10" t="s">
        <v>337</v>
      </c>
      <c r="AA195" s="10">
        <v>3</v>
      </c>
    </row>
    <row r="196" spans="3:27" ht="45" x14ac:dyDescent="0.25">
      <c r="C196" s="1" t="str">
        <f>_xlfn.XLOOKUP(Tabla9[[#This Row],[PROGRAMA ORIGEN]],PROGRAMAS_N[PROGRAMAS ORIGEN],PROGRAMAS_N[NIVEL],"")</f>
        <v>TECNÓLOGO</v>
      </c>
      <c r="D196" s="16" t="s">
        <v>159</v>
      </c>
      <c r="E196" s="14">
        <v>280301107</v>
      </c>
      <c r="F196" s="10" t="s">
        <v>404</v>
      </c>
      <c r="G196" s="10" cm="1">
        <f t="array" ref="G196">+_xlfn.XLOOKUP(Tabla9[[#This Row],[ESPACIO ACADÉMICO DESTINO]]&amp;Tabla9[[#This Row],[PROGRAMA DESTINO]],Tabla49[ESPACIO ACADÉMICO DESTINO]&amp;Tabla49[PROGRAMA],Tabla49[CÓDIGO],"")</f>
        <v>48241</v>
      </c>
      <c r="H196" s="10" t="s">
        <v>232</v>
      </c>
      <c r="I196" s="14" cm="1">
        <f t="array" ref="I196">+_xlfn.XLOOKUP(Tabla9[[#This Row],[ESPACIO ACADÉMICO DESTINO]]&amp;Tabla9[[#This Row],[PROGRAMA DESTINO]],Tabla49[ESPACIO ACADÉMICO DESTINO]&amp;Tabla49[PROGRAMA],Tabla49[CRÉDITOS],"")</f>
        <v>3</v>
      </c>
      <c r="J196" s="14">
        <v>4.5</v>
      </c>
      <c r="K196" s="10" t="s">
        <v>73</v>
      </c>
      <c r="X196" s="52" t="s">
        <v>107</v>
      </c>
      <c r="Y196" s="10">
        <v>96303</v>
      </c>
      <c r="Z196" s="10" t="s">
        <v>255</v>
      </c>
      <c r="AA196" s="10">
        <v>3</v>
      </c>
    </row>
    <row r="197" spans="3:27" ht="45" x14ac:dyDescent="0.25">
      <c r="C197" s="1" t="str">
        <f>_xlfn.XLOOKUP(Tabla9[[#This Row],[PROGRAMA ORIGEN]],PROGRAMAS_N[PROGRAMAS ORIGEN],PROGRAMAS_N[NIVEL],"")</f>
        <v>TECNÓLOGO</v>
      </c>
      <c r="D197" s="16" t="s">
        <v>159</v>
      </c>
      <c r="E197" s="14">
        <v>280301013</v>
      </c>
      <c r="F197" s="10" t="s">
        <v>405</v>
      </c>
      <c r="G197" s="10" cm="1">
        <f t="array" ref="G197">+_xlfn.XLOOKUP(Tabla9[[#This Row],[ESPACIO ACADÉMICO DESTINO]]&amp;Tabla9[[#This Row],[PROGRAMA DESTINO]],Tabla49[ESPACIO ACADÉMICO DESTINO]&amp;Tabla49[PROGRAMA],Tabla49[CÓDIGO],"")</f>
        <v>48242</v>
      </c>
      <c r="H197" s="10" t="s">
        <v>233</v>
      </c>
      <c r="I197" s="14" cm="1">
        <f t="array" ref="I197">+_xlfn.XLOOKUP(Tabla9[[#This Row],[ESPACIO ACADÉMICO DESTINO]]&amp;Tabla9[[#This Row],[PROGRAMA DESTINO]],Tabla49[ESPACIO ACADÉMICO DESTINO]&amp;Tabla49[PROGRAMA],Tabla49[CRÉDITOS],"")</f>
        <v>3</v>
      </c>
      <c r="J197" s="14">
        <v>4.5</v>
      </c>
      <c r="K197" s="10" t="s">
        <v>73</v>
      </c>
      <c r="X197" s="52" t="s">
        <v>107</v>
      </c>
      <c r="Y197" s="10">
        <v>16570</v>
      </c>
      <c r="Z197" s="10" t="s">
        <v>66</v>
      </c>
      <c r="AA197" s="10">
        <v>2</v>
      </c>
    </row>
    <row r="198" spans="3:27" ht="45" x14ac:dyDescent="0.25">
      <c r="C198" s="1" t="str">
        <f>_xlfn.XLOOKUP(Tabla9[[#This Row],[PROGRAMA ORIGEN]],PROGRAMAS_N[PROGRAMAS ORIGEN],PROGRAMAS_N[NIVEL],"")</f>
        <v>TECNÓLOGO</v>
      </c>
      <c r="D198" s="16" t="s">
        <v>159</v>
      </c>
      <c r="E198" s="14">
        <v>240201500</v>
      </c>
      <c r="F198" s="10" t="s">
        <v>390</v>
      </c>
      <c r="G198" s="10" cm="1">
        <f t="array" ref="G198">+_xlfn.XLOOKUP(Tabla9[[#This Row],[ESPACIO ACADÉMICO DESTINO]]&amp;Tabla9[[#This Row],[PROGRAMA DESTINO]],Tabla49[ESPACIO ACADÉMICO DESTINO]&amp;Tabla49[PROGRAMA],Tabla49[CÓDIGO],"")</f>
        <v>15135</v>
      </c>
      <c r="H198" s="10" t="s">
        <v>56</v>
      </c>
      <c r="I198" s="14" cm="1">
        <f t="array" ref="I198">+_xlfn.XLOOKUP(Tabla9[[#This Row],[ESPACIO ACADÉMICO DESTINO]]&amp;Tabla9[[#This Row],[PROGRAMA DESTINO]],Tabla49[ESPACIO ACADÉMICO DESTINO]&amp;Tabla49[PROGRAMA],Tabla49[CRÉDITOS],"")</f>
        <v>2</v>
      </c>
      <c r="J198" s="14">
        <v>4.5</v>
      </c>
      <c r="K198" s="10" t="s">
        <v>73</v>
      </c>
      <c r="X198" s="52" t="s">
        <v>107</v>
      </c>
      <c r="Y198" s="8">
        <v>16675</v>
      </c>
      <c r="Z198" s="8" t="s">
        <v>165</v>
      </c>
      <c r="AA198" s="8">
        <v>2</v>
      </c>
    </row>
    <row r="199" spans="3:27" ht="45" x14ac:dyDescent="0.25">
      <c r="C199" s="1" t="str">
        <f>_xlfn.XLOOKUP(Tabla9[[#This Row],[PROGRAMA ORIGEN]],PROGRAMAS_N[PROGRAMAS ORIGEN],PROGRAMAS_N[NIVEL],"")</f>
        <v>TECNÓLOGO</v>
      </c>
      <c r="D199" s="16" t="s">
        <v>159</v>
      </c>
      <c r="E199" s="14">
        <v>280301103</v>
      </c>
      <c r="F199" s="10" t="s">
        <v>406</v>
      </c>
      <c r="G199" s="10" cm="1">
        <f t="array" ref="G199">+_xlfn.XLOOKUP(Tabla9[[#This Row],[ESPACIO ACADÉMICO DESTINO]]&amp;Tabla9[[#This Row],[PROGRAMA DESTINO]],Tabla49[ESPACIO ACADÉMICO DESTINO]&amp;Tabla49[PROGRAMA],Tabla49[CÓDIGO],"")</f>
        <v>48245</v>
      </c>
      <c r="H199" s="10" t="s">
        <v>245</v>
      </c>
      <c r="I199" s="14" cm="1">
        <f t="array" ref="I199">+_xlfn.XLOOKUP(Tabla9[[#This Row],[ESPACIO ACADÉMICO DESTINO]]&amp;Tabla9[[#This Row],[PROGRAMA DESTINO]],Tabla49[ESPACIO ACADÉMICO DESTINO]&amp;Tabla49[PROGRAMA],Tabla49[CRÉDITOS],"")</f>
        <v>3</v>
      </c>
      <c r="J199" s="14">
        <v>4.5</v>
      </c>
      <c r="K199" s="10" t="s">
        <v>73</v>
      </c>
      <c r="X199" s="52" t="s">
        <v>107</v>
      </c>
      <c r="Y199" s="8">
        <v>31038</v>
      </c>
      <c r="Z199" s="8" t="s">
        <v>407</v>
      </c>
      <c r="AA199" s="8">
        <v>2</v>
      </c>
    </row>
    <row r="200" spans="3:27" ht="45" x14ac:dyDescent="0.25">
      <c r="C200" s="1" t="str">
        <f>_xlfn.XLOOKUP(Tabla9[[#This Row],[PROGRAMA ORIGEN]],PROGRAMAS_N[PROGRAMAS ORIGEN],PROGRAMAS_N[NIVEL],"")</f>
        <v>TECNÓLOGO</v>
      </c>
      <c r="D200" s="16" t="s">
        <v>159</v>
      </c>
      <c r="E200" s="14">
        <v>280301021</v>
      </c>
      <c r="F200" s="10" t="s">
        <v>403</v>
      </c>
      <c r="G200" s="10" cm="1">
        <f t="array" ref="G200">+_xlfn.XLOOKUP(Tabla9[[#This Row],[ESPACIO ACADÉMICO DESTINO]]&amp;Tabla9[[#This Row],[PROGRAMA DESTINO]],Tabla49[ESPACIO ACADÉMICO DESTINO]&amp;Tabla49[PROGRAMA],Tabla49[CÓDIGO],"")</f>
        <v>48246</v>
      </c>
      <c r="H200" s="10" t="s">
        <v>258</v>
      </c>
      <c r="I200" s="14" cm="1">
        <f t="array" ref="I200">+_xlfn.XLOOKUP(Tabla9[[#This Row],[ESPACIO ACADÉMICO DESTINO]]&amp;Tabla9[[#This Row],[PROGRAMA DESTINO]],Tabla49[ESPACIO ACADÉMICO DESTINO]&amp;Tabla49[PROGRAMA],Tabla49[CRÉDITOS],"")</f>
        <v>3</v>
      </c>
      <c r="J200" s="14">
        <v>4.5</v>
      </c>
      <c r="K200" s="10" t="s">
        <v>73</v>
      </c>
      <c r="X200" s="52" t="s">
        <v>107</v>
      </c>
      <c r="Y200" s="8">
        <v>73349</v>
      </c>
      <c r="Z200" s="8" t="s">
        <v>408</v>
      </c>
      <c r="AA200" s="8">
        <v>2</v>
      </c>
    </row>
    <row r="201" spans="3:27" ht="45" x14ac:dyDescent="0.25">
      <c r="C201" s="1" t="str">
        <f>_xlfn.XLOOKUP(Tabla9[[#This Row],[PROGRAMA ORIGEN]],PROGRAMAS_N[PROGRAMAS ORIGEN],PROGRAMAS_N[NIVEL],"")</f>
        <v>TECNÓLOGO</v>
      </c>
      <c r="D201" s="16" t="s">
        <v>159</v>
      </c>
      <c r="E201" s="14">
        <v>280301013</v>
      </c>
      <c r="F201" s="10" t="s">
        <v>405</v>
      </c>
      <c r="G201" s="10" cm="1">
        <f t="array" ref="G201">+_xlfn.XLOOKUP(Tabla9[[#This Row],[ESPACIO ACADÉMICO DESTINO]]&amp;Tabla9[[#This Row],[PROGRAMA DESTINO]],Tabla49[ESPACIO ACADÉMICO DESTINO]&amp;Tabla49[PROGRAMA],Tabla49[CÓDIGO],"")</f>
        <v>48249</v>
      </c>
      <c r="H201" s="10" t="s">
        <v>263</v>
      </c>
      <c r="I201" s="14" cm="1">
        <f t="array" ref="I201">+_xlfn.XLOOKUP(Tabla9[[#This Row],[ESPACIO ACADÉMICO DESTINO]]&amp;Tabla9[[#This Row],[PROGRAMA DESTINO]],Tabla49[ESPACIO ACADÉMICO DESTINO]&amp;Tabla49[PROGRAMA],Tabla49[CRÉDITOS],"")</f>
        <v>3</v>
      </c>
      <c r="J201" s="14">
        <v>4.5</v>
      </c>
      <c r="K201" s="10" t="s">
        <v>73</v>
      </c>
      <c r="X201" s="52" t="s">
        <v>107</v>
      </c>
      <c r="Y201" s="8">
        <v>73623</v>
      </c>
      <c r="Z201" s="8" t="s">
        <v>409</v>
      </c>
      <c r="AA201" s="8">
        <v>2</v>
      </c>
    </row>
    <row r="202" spans="3:27" ht="45" x14ac:dyDescent="0.25">
      <c r="C202" s="1" t="str">
        <f>_xlfn.XLOOKUP(Tabla9[[#This Row],[PROGRAMA ORIGEN]],PROGRAMAS_N[PROGRAMAS ORIGEN],PROGRAMAS_N[NIVEL],"")</f>
        <v>TECNÓLOGO</v>
      </c>
      <c r="D202" s="16" t="s">
        <v>159</v>
      </c>
      <c r="E202" s="14">
        <v>240201500</v>
      </c>
      <c r="F202" s="10" t="s">
        <v>390</v>
      </c>
      <c r="G202" s="10" cm="1">
        <f t="array" ref="G202">+_xlfn.XLOOKUP(Tabla9[[#This Row],[ESPACIO ACADÉMICO DESTINO]]&amp;Tabla9[[#This Row],[PROGRAMA DESTINO]],Tabla49[ESPACIO ACADÉMICO DESTINO]&amp;Tabla49[PROGRAMA],Tabla49[CÓDIGO],"")</f>
        <v>48260</v>
      </c>
      <c r="H202" s="10" t="s">
        <v>300</v>
      </c>
      <c r="I202" s="14" cm="1">
        <f t="array" ref="I202">+_xlfn.XLOOKUP(Tabla9[[#This Row],[ESPACIO ACADÉMICO DESTINO]]&amp;Tabla9[[#This Row],[PROGRAMA DESTINO]],Tabla49[ESPACIO ACADÉMICO DESTINO]&amp;Tabla49[PROGRAMA],Tabla49[CRÉDITOS],"")</f>
        <v>3</v>
      </c>
      <c r="J202" s="14">
        <v>4.5</v>
      </c>
      <c r="K202" s="10" t="s">
        <v>73</v>
      </c>
      <c r="X202" s="52" t="s">
        <v>107</v>
      </c>
      <c r="Y202" s="8">
        <v>95111</v>
      </c>
      <c r="Z202" s="8" t="s">
        <v>184</v>
      </c>
      <c r="AA202" s="8">
        <v>2</v>
      </c>
    </row>
    <row r="203" spans="3:27" ht="45" x14ac:dyDescent="0.25">
      <c r="C203" s="1" t="str">
        <f>_xlfn.XLOOKUP(Tabla9[[#This Row],[PROGRAMA ORIGEN]],PROGRAMAS_N[PROGRAMAS ORIGEN],PROGRAMAS_N[NIVEL],"")</f>
        <v>TÉCNICO</v>
      </c>
      <c r="D203" s="16" t="s">
        <v>130</v>
      </c>
      <c r="E203" s="14">
        <v>280301024</v>
      </c>
      <c r="F203" s="10" t="s">
        <v>410</v>
      </c>
      <c r="G203" s="10" cm="1">
        <f t="array" ref="G203">+_xlfn.XLOOKUP(Tabla9[[#This Row],[ESPACIO ACADÉMICO DESTINO]]&amp;Tabla9[[#This Row],[PROGRAMA DESTINO]],Tabla49[ESPACIO ACADÉMICO DESTINO]&amp;Tabla49[PROGRAMA],Tabla49[CÓDIGO],"")</f>
        <v>48242</v>
      </c>
      <c r="H203" s="10" t="s">
        <v>233</v>
      </c>
      <c r="I203" s="14" cm="1">
        <f t="array" ref="I203">+_xlfn.XLOOKUP(Tabla9[[#This Row],[ESPACIO ACADÉMICO DESTINO]]&amp;Tabla9[[#This Row],[PROGRAMA DESTINO]],Tabla49[ESPACIO ACADÉMICO DESTINO]&amp;Tabla49[PROGRAMA],Tabla49[CRÉDITOS],"")</f>
        <v>3</v>
      </c>
      <c r="J203" s="14">
        <v>4.5</v>
      </c>
      <c r="K203" s="10" t="s">
        <v>73</v>
      </c>
      <c r="X203" s="52" t="s">
        <v>107</v>
      </c>
      <c r="Y203" s="8">
        <v>96115</v>
      </c>
      <c r="Z203" s="8" t="s">
        <v>345</v>
      </c>
      <c r="AA203" s="8">
        <v>3</v>
      </c>
    </row>
    <row r="204" spans="3:27" ht="45" x14ac:dyDescent="0.25">
      <c r="C204" s="1" t="str">
        <f>_xlfn.XLOOKUP(Tabla9[[#This Row],[PROGRAMA ORIGEN]],PROGRAMAS_N[PROGRAMAS ORIGEN],PROGRAMAS_N[NIVEL],"")</f>
        <v>TÉCNICO</v>
      </c>
      <c r="D204" s="16" t="s">
        <v>130</v>
      </c>
      <c r="E204" s="14">
        <v>240201500</v>
      </c>
      <c r="F204" s="10" t="s">
        <v>390</v>
      </c>
      <c r="G204" s="10" cm="1">
        <f t="array" ref="G204">+_xlfn.XLOOKUP(Tabla9[[#This Row],[ESPACIO ACADÉMICO DESTINO]]&amp;Tabla9[[#This Row],[PROGRAMA DESTINO]],Tabla49[ESPACIO ACADÉMICO DESTINO]&amp;Tabla49[PROGRAMA],Tabla49[CÓDIGO],"")</f>
        <v>15135</v>
      </c>
      <c r="H204" s="10" t="s">
        <v>56</v>
      </c>
      <c r="I204" s="14" cm="1">
        <f t="array" ref="I204">+_xlfn.XLOOKUP(Tabla9[[#This Row],[ESPACIO ACADÉMICO DESTINO]]&amp;Tabla9[[#This Row],[PROGRAMA DESTINO]],Tabla49[ESPACIO ACADÉMICO DESTINO]&amp;Tabla49[PROGRAMA],Tabla49[CRÉDITOS],"")</f>
        <v>2</v>
      </c>
      <c r="J204" s="14">
        <v>4.5</v>
      </c>
      <c r="K204" s="10" t="s">
        <v>73</v>
      </c>
      <c r="X204" s="52" t="s">
        <v>107</v>
      </c>
      <c r="Y204" s="8">
        <v>16571</v>
      </c>
      <c r="Z204" s="8" t="s">
        <v>108</v>
      </c>
      <c r="AA204" s="8">
        <v>2</v>
      </c>
    </row>
    <row r="205" spans="3:27" ht="45" x14ac:dyDescent="0.25">
      <c r="C205" s="1" t="str">
        <f>_xlfn.XLOOKUP(Tabla9[[#This Row],[PROGRAMA ORIGEN]],PROGRAMAS_N[PROGRAMAS ORIGEN],PROGRAMAS_N[NIVEL],"")</f>
        <v>TÉCNICO</v>
      </c>
      <c r="D205" s="16" t="s">
        <v>130</v>
      </c>
      <c r="E205" s="14">
        <v>280301058</v>
      </c>
      <c r="F205" s="10" t="s">
        <v>392</v>
      </c>
      <c r="G205" s="10" cm="1">
        <f t="array" ref="G205">+_xlfn.XLOOKUP(Tabla9[[#This Row],[ESPACIO ACADÉMICO DESTINO]]&amp;Tabla9[[#This Row],[PROGRAMA DESTINO]],Tabla49[ESPACIO ACADÉMICO DESTINO]&amp;Tabla49[PROGRAMA],Tabla49[CÓDIGO],"")</f>
        <v>48245</v>
      </c>
      <c r="H205" s="10" t="s">
        <v>245</v>
      </c>
      <c r="I205" s="14" cm="1">
        <f t="array" ref="I205">+_xlfn.XLOOKUP(Tabla9[[#This Row],[ESPACIO ACADÉMICO DESTINO]]&amp;Tabla9[[#This Row],[PROGRAMA DESTINO]],Tabla49[ESPACIO ACADÉMICO DESTINO]&amp;Tabla49[PROGRAMA],Tabla49[CRÉDITOS],"")</f>
        <v>3</v>
      </c>
      <c r="J205" s="14">
        <v>4.5</v>
      </c>
      <c r="K205" s="10" t="s">
        <v>73</v>
      </c>
      <c r="X205" s="52" t="s">
        <v>107</v>
      </c>
      <c r="Y205" s="8">
        <v>16695</v>
      </c>
      <c r="Z205" s="8" t="s">
        <v>363</v>
      </c>
      <c r="AA205" s="8">
        <v>2</v>
      </c>
    </row>
    <row r="206" spans="3:27" ht="45" x14ac:dyDescent="0.25">
      <c r="C206" s="1" t="str">
        <f>_xlfn.XLOOKUP(Tabla9[[#This Row],[PROGRAMA ORIGEN]],PROGRAMAS_N[PROGRAMAS ORIGEN],PROGRAMAS_N[NIVEL],"")</f>
        <v>TÉCNICO</v>
      </c>
      <c r="D206" s="16" t="s">
        <v>130</v>
      </c>
      <c r="E206" s="14">
        <v>280301024</v>
      </c>
      <c r="F206" s="10" t="s">
        <v>410</v>
      </c>
      <c r="G206" s="10" cm="1">
        <f t="array" ref="G206">+_xlfn.XLOOKUP(Tabla9[[#This Row],[ESPACIO ACADÉMICO DESTINO]]&amp;Tabla9[[#This Row],[PROGRAMA DESTINO]],Tabla49[ESPACIO ACADÉMICO DESTINO]&amp;Tabla49[PROGRAMA],Tabla49[CÓDIGO],"")</f>
        <v>48272</v>
      </c>
      <c r="H206" s="10" t="s">
        <v>253</v>
      </c>
      <c r="I206" s="14" cm="1">
        <f t="array" ref="I206">+_xlfn.XLOOKUP(Tabla9[[#This Row],[ESPACIO ACADÉMICO DESTINO]]&amp;Tabla9[[#This Row],[PROGRAMA DESTINO]],Tabla49[ESPACIO ACADÉMICO DESTINO]&amp;Tabla49[PROGRAMA],Tabla49[CRÉDITOS],"")</f>
        <v>2</v>
      </c>
      <c r="J206" s="14">
        <v>4.5</v>
      </c>
      <c r="K206" s="10" t="s">
        <v>73</v>
      </c>
      <c r="X206" s="52" t="s">
        <v>107</v>
      </c>
      <c r="Y206" s="8">
        <v>16866</v>
      </c>
      <c r="Z206" s="8" t="s">
        <v>411</v>
      </c>
      <c r="AA206" s="8">
        <v>3</v>
      </c>
    </row>
    <row r="207" spans="3:27" ht="45" x14ac:dyDescent="0.25">
      <c r="C207" s="1" t="str">
        <f>_xlfn.XLOOKUP(Tabla9[[#This Row],[PROGRAMA ORIGEN]],PROGRAMAS_N[PROGRAMAS ORIGEN],PROGRAMAS_N[NIVEL],"")</f>
        <v>TÉCNICO</v>
      </c>
      <c r="D207" s="16" t="s">
        <v>130</v>
      </c>
      <c r="E207" s="14">
        <v>280301024</v>
      </c>
      <c r="F207" s="10" t="s">
        <v>410</v>
      </c>
      <c r="G207" s="10" cm="1">
        <f t="array" ref="G207">+_xlfn.XLOOKUP(Tabla9[[#This Row],[ESPACIO ACADÉMICO DESTINO]]&amp;Tabla9[[#This Row],[PROGRAMA DESTINO]],Tabla49[ESPACIO ACADÉMICO DESTINO]&amp;Tabla49[PROGRAMA],Tabla49[CÓDIGO],"")</f>
        <v>48247</v>
      </c>
      <c r="H207" s="10" t="s">
        <v>259</v>
      </c>
      <c r="I207" s="14" cm="1">
        <f t="array" ref="I207">+_xlfn.XLOOKUP(Tabla9[[#This Row],[ESPACIO ACADÉMICO DESTINO]]&amp;Tabla9[[#This Row],[PROGRAMA DESTINO]],Tabla49[ESPACIO ACADÉMICO DESTINO]&amp;Tabla49[PROGRAMA],Tabla49[CRÉDITOS],"")</f>
        <v>3</v>
      </c>
      <c r="J207" s="14">
        <v>4.5</v>
      </c>
      <c r="K207" s="10" t="s">
        <v>73</v>
      </c>
      <c r="X207" s="52" t="s">
        <v>107</v>
      </c>
      <c r="Y207" s="8">
        <v>31039</v>
      </c>
      <c r="Z207" s="8" t="s">
        <v>412</v>
      </c>
      <c r="AA207" s="8">
        <v>2</v>
      </c>
    </row>
    <row r="208" spans="3:27" ht="45" x14ac:dyDescent="0.25">
      <c r="C208" s="1" t="str">
        <f>_xlfn.XLOOKUP(Tabla9[[#This Row],[PROGRAMA ORIGEN]],PROGRAMAS_N[PROGRAMAS ORIGEN],PROGRAMAS_N[NIVEL],"")</f>
        <v>TÉCNICO</v>
      </c>
      <c r="D208" s="16" t="s">
        <v>130</v>
      </c>
      <c r="E208" s="14">
        <v>280301112</v>
      </c>
      <c r="F208" s="10" t="s">
        <v>413</v>
      </c>
      <c r="G208" s="10" cm="1">
        <f t="array" ref="G208">+_xlfn.XLOOKUP(Tabla9[[#This Row],[ESPACIO ACADÉMICO DESTINO]]&amp;Tabla9[[#This Row],[PROGRAMA DESTINO]],Tabla49[ESPACIO ACADÉMICO DESTINO]&amp;Tabla49[PROGRAMA],Tabla49[CÓDIGO],"")</f>
        <v>48250</v>
      </c>
      <c r="H208" s="10" t="s">
        <v>264</v>
      </c>
      <c r="I208" s="14" cm="1">
        <f t="array" ref="I208">+_xlfn.XLOOKUP(Tabla9[[#This Row],[ESPACIO ACADÉMICO DESTINO]]&amp;Tabla9[[#This Row],[PROGRAMA DESTINO]],Tabla49[ESPACIO ACADÉMICO DESTINO]&amp;Tabla49[PROGRAMA],Tabla49[CRÉDITOS],"")</f>
        <v>3</v>
      </c>
      <c r="J208" s="14">
        <v>4.5</v>
      </c>
      <c r="K208" s="10" t="s">
        <v>73</v>
      </c>
      <c r="X208" s="52" t="s">
        <v>107</v>
      </c>
      <c r="Y208" s="8">
        <v>73624</v>
      </c>
      <c r="Z208" s="8" t="s">
        <v>153</v>
      </c>
      <c r="AA208" s="8">
        <v>2</v>
      </c>
    </row>
    <row r="209" spans="3:27" ht="45" x14ac:dyDescent="0.25">
      <c r="C209" s="1" t="str">
        <f>_xlfn.XLOOKUP(Tabla9[[#This Row],[PROGRAMA ORIGEN]],PROGRAMAS_N[PROGRAMAS ORIGEN],PROGRAMAS_N[NIVEL],"")</f>
        <v>TÉCNICO</v>
      </c>
      <c r="D209" s="16" t="s">
        <v>130</v>
      </c>
      <c r="E209" s="14">
        <v>240201500</v>
      </c>
      <c r="F209" s="10" t="s">
        <v>390</v>
      </c>
      <c r="G209" s="10" cm="1">
        <f t="array" ref="G209">+_xlfn.XLOOKUP(Tabla9[[#This Row],[ESPACIO ACADÉMICO DESTINO]]&amp;Tabla9[[#This Row],[PROGRAMA DESTINO]],Tabla49[ESPACIO ACADÉMICO DESTINO]&amp;Tabla49[PROGRAMA],Tabla49[CÓDIGO],"")</f>
        <v>48260</v>
      </c>
      <c r="H209" s="10" t="s">
        <v>300</v>
      </c>
      <c r="I209" s="14" cm="1">
        <f t="array" ref="I209">+_xlfn.XLOOKUP(Tabla9[[#This Row],[ESPACIO ACADÉMICO DESTINO]]&amp;Tabla9[[#This Row],[PROGRAMA DESTINO]],Tabla49[ESPACIO ACADÉMICO DESTINO]&amp;Tabla49[PROGRAMA],Tabla49[CRÉDITOS],"")</f>
        <v>3</v>
      </c>
      <c r="J209" s="14">
        <v>4.5</v>
      </c>
      <c r="K209" s="10" t="s">
        <v>73</v>
      </c>
      <c r="X209" s="52" t="s">
        <v>107</v>
      </c>
      <c r="Y209" s="8">
        <v>73625</v>
      </c>
      <c r="Z209" s="8" t="s">
        <v>414</v>
      </c>
      <c r="AA209" s="8">
        <v>3</v>
      </c>
    </row>
    <row r="210" spans="3:27" ht="45" x14ac:dyDescent="0.25">
      <c r="C210" s="1" t="str">
        <f>_xlfn.XLOOKUP(Tabla9[[#This Row],[PROGRAMA ORIGEN]],PROGRAMAS_N[PROGRAMAS ORIGEN],PROGRAMAS_N[NIVEL],"")</f>
        <v>TÉCNICO</v>
      </c>
      <c r="D210" s="16" t="s">
        <v>127</v>
      </c>
      <c r="E210" s="14">
        <v>280301006</v>
      </c>
      <c r="F210" s="10" t="s">
        <v>415</v>
      </c>
      <c r="G210" s="10" cm="1">
        <f t="array" ref="G210">+_xlfn.XLOOKUP(Tabla9[[#This Row],[ESPACIO ACADÉMICO DESTINO]]&amp;Tabla9[[#This Row],[PROGRAMA DESTINO]],Tabla49[ESPACIO ACADÉMICO DESTINO]&amp;Tabla49[PROGRAMA],Tabla49[CÓDIGO],"")</f>
        <v>48242</v>
      </c>
      <c r="H210" s="10" t="s">
        <v>233</v>
      </c>
      <c r="I210" s="14" cm="1">
        <f t="array" ref="I210">+_xlfn.XLOOKUP(Tabla9[[#This Row],[ESPACIO ACADÉMICO DESTINO]]&amp;Tabla9[[#This Row],[PROGRAMA DESTINO]],Tabla49[ESPACIO ACADÉMICO DESTINO]&amp;Tabla49[PROGRAMA],Tabla49[CRÉDITOS],"")</f>
        <v>3</v>
      </c>
      <c r="J210" s="14">
        <v>4.5</v>
      </c>
      <c r="K210" s="10" t="s">
        <v>73</v>
      </c>
      <c r="X210" s="52" t="s">
        <v>107</v>
      </c>
      <c r="Y210" s="8">
        <v>96117</v>
      </c>
      <c r="Z210" s="8" t="s">
        <v>261</v>
      </c>
      <c r="AA210" s="8">
        <v>3</v>
      </c>
    </row>
    <row r="211" spans="3:27" ht="45" x14ac:dyDescent="0.25">
      <c r="C211" s="1" t="str">
        <f>_xlfn.XLOOKUP(Tabla9[[#This Row],[PROGRAMA ORIGEN]],PROGRAMAS_N[PROGRAMAS ORIGEN],PROGRAMAS_N[NIVEL],"")</f>
        <v>TÉCNICO</v>
      </c>
      <c r="D211" s="16" t="s">
        <v>127</v>
      </c>
      <c r="E211" s="14">
        <v>240201500</v>
      </c>
      <c r="F211" s="10" t="s">
        <v>390</v>
      </c>
      <c r="G211" s="10" cm="1">
        <f t="array" ref="G211">+_xlfn.XLOOKUP(Tabla9[[#This Row],[ESPACIO ACADÉMICO DESTINO]]&amp;Tabla9[[#This Row],[PROGRAMA DESTINO]],Tabla49[ESPACIO ACADÉMICO DESTINO]&amp;Tabla49[PROGRAMA],Tabla49[CÓDIGO],"")</f>
        <v>15135</v>
      </c>
      <c r="H211" s="10" t="s">
        <v>56</v>
      </c>
      <c r="I211" s="14" cm="1">
        <f t="array" ref="I211">+_xlfn.XLOOKUP(Tabla9[[#This Row],[ESPACIO ACADÉMICO DESTINO]]&amp;Tabla9[[#This Row],[PROGRAMA DESTINO]],Tabla49[ESPACIO ACADÉMICO DESTINO]&amp;Tabla49[PROGRAMA],Tabla49[CRÉDITOS],"")</f>
        <v>2</v>
      </c>
      <c r="J211" s="14">
        <v>4.5</v>
      </c>
      <c r="K211" s="10" t="s">
        <v>73</v>
      </c>
      <c r="X211" s="52" t="s">
        <v>107</v>
      </c>
      <c r="Y211" s="8">
        <v>16572</v>
      </c>
      <c r="Z211" s="8" t="s">
        <v>139</v>
      </c>
      <c r="AA211" s="8">
        <v>2</v>
      </c>
    </row>
    <row r="212" spans="3:27" ht="45" x14ac:dyDescent="0.25">
      <c r="C212" s="1" t="str">
        <f>_xlfn.XLOOKUP(Tabla9[[#This Row],[PROGRAMA ORIGEN]],PROGRAMAS_N[PROGRAMAS ORIGEN],PROGRAMAS_N[NIVEL],"")</f>
        <v>TÉCNICO</v>
      </c>
      <c r="D212" s="16" t="s">
        <v>127</v>
      </c>
      <c r="E212" s="14">
        <v>280301024</v>
      </c>
      <c r="F212" s="10" t="s">
        <v>410</v>
      </c>
      <c r="G212" s="10" cm="1">
        <f t="array" ref="G212">+_xlfn.XLOOKUP(Tabla9[[#This Row],[ESPACIO ACADÉMICO DESTINO]]&amp;Tabla9[[#This Row],[PROGRAMA DESTINO]],Tabla49[ESPACIO ACADÉMICO DESTINO]&amp;Tabla49[PROGRAMA],Tabla49[CÓDIGO],"")</f>
        <v>48272</v>
      </c>
      <c r="H212" s="10" t="s">
        <v>253</v>
      </c>
      <c r="I212" s="14" cm="1">
        <f t="array" ref="I212">+_xlfn.XLOOKUP(Tabla9[[#This Row],[ESPACIO ACADÉMICO DESTINO]]&amp;Tabla9[[#This Row],[PROGRAMA DESTINO]],Tabla49[ESPACIO ACADÉMICO DESTINO]&amp;Tabla49[PROGRAMA],Tabla49[CRÉDITOS],"")</f>
        <v>2</v>
      </c>
      <c r="J212" s="14">
        <v>4.5</v>
      </c>
      <c r="K212" s="10" t="s">
        <v>73</v>
      </c>
      <c r="X212" s="52" t="s">
        <v>107</v>
      </c>
      <c r="Y212" s="8">
        <v>16868</v>
      </c>
      <c r="Z212" s="8" t="s">
        <v>416</v>
      </c>
      <c r="AA212" s="8">
        <v>3</v>
      </c>
    </row>
    <row r="213" spans="3:27" ht="45" x14ac:dyDescent="0.25">
      <c r="C213" s="1" t="str">
        <f>_xlfn.XLOOKUP(Tabla9[[#This Row],[PROGRAMA ORIGEN]],PROGRAMAS_N[PROGRAMAS ORIGEN],PROGRAMAS_N[NIVEL],"")</f>
        <v>TÉCNICO</v>
      </c>
      <c r="D213" s="16" t="s">
        <v>127</v>
      </c>
      <c r="E213" s="14">
        <v>280301024</v>
      </c>
      <c r="F213" s="10" t="s">
        <v>410</v>
      </c>
      <c r="G213" s="10" cm="1">
        <f t="array" ref="G213">+_xlfn.XLOOKUP(Tabla9[[#This Row],[ESPACIO ACADÉMICO DESTINO]]&amp;Tabla9[[#This Row],[PROGRAMA DESTINO]],Tabla49[ESPACIO ACADÉMICO DESTINO]&amp;Tabla49[PROGRAMA],Tabla49[CÓDIGO],"")</f>
        <v>48247</v>
      </c>
      <c r="H213" s="10" t="s">
        <v>259</v>
      </c>
      <c r="I213" s="14" cm="1">
        <f t="array" ref="I213">+_xlfn.XLOOKUP(Tabla9[[#This Row],[ESPACIO ACADÉMICO DESTINO]]&amp;Tabla9[[#This Row],[PROGRAMA DESTINO]],Tabla49[ESPACIO ACADÉMICO DESTINO]&amp;Tabla49[PROGRAMA],Tabla49[CRÉDITOS],"")</f>
        <v>3</v>
      </c>
      <c r="J213" s="14">
        <v>4.5</v>
      </c>
      <c r="K213" s="10" t="s">
        <v>73</v>
      </c>
      <c r="X213" s="52" t="s">
        <v>107</v>
      </c>
      <c r="Y213" s="8">
        <v>16916</v>
      </c>
      <c r="Z213" s="8" t="s">
        <v>417</v>
      </c>
      <c r="AA213" s="8">
        <v>3</v>
      </c>
    </row>
    <row r="214" spans="3:27" ht="45" x14ac:dyDescent="0.25">
      <c r="C214" s="1" t="str">
        <f>_xlfn.XLOOKUP(Tabla9[[#This Row],[PROGRAMA ORIGEN]],PROGRAMAS_N[PROGRAMAS ORIGEN],PROGRAMAS_N[NIVEL],"")</f>
        <v>TÉCNICO</v>
      </c>
      <c r="D214" s="16" t="s">
        <v>127</v>
      </c>
      <c r="E214" s="14">
        <v>280301019</v>
      </c>
      <c r="F214" s="10" t="s">
        <v>418</v>
      </c>
      <c r="G214" s="10" cm="1">
        <f t="array" ref="G214">+_xlfn.XLOOKUP(Tabla9[[#This Row],[ESPACIO ACADÉMICO DESTINO]]&amp;Tabla9[[#This Row],[PROGRAMA DESTINO]],Tabla49[ESPACIO ACADÉMICO DESTINO]&amp;Tabla49[PROGRAMA],Tabla49[CÓDIGO],"")</f>
        <v>48257</v>
      </c>
      <c r="H214" s="10" t="s">
        <v>286</v>
      </c>
      <c r="I214" s="14" cm="1">
        <f t="array" ref="I214">+_xlfn.XLOOKUP(Tabla9[[#This Row],[ESPACIO ACADÉMICO DESTINO]]&amp;Tabla9[[#This Row],[PROGRAMA DESTINO]],Tabla49[ESPACIO ACADÉMICO DESTINO]&amp;Tabla49[PROGRAMA],Tabla49[CRÉDITOS],"")</f>
        <v>2</v>
      </c>
      <c r="J214" s="14">
        <v>4.5</v>
      </c>
      <c r="K214" s="10" t="s">
        <v>73</v>
      </c>
      <c r="X214" s="52" t="s">
        <v>107</v>
      </c>
      <c r="Y214" s="8">
        <v>73360</v>
      </c>
      <c r="Z214" s="8" t="s">
        <v>419</v>
      </c>
      <c r="AA214" s="8">
        <v>2</v>
      </c>
    </row>
    <row r="215" spans="3:27" ht="45" x14ac:dyDescent="0.25">
      <c r="C215" s="1" t="str">
        <f>_xlfn.XLOOKUP(Tabla9[[#This Row],[PROGRAMA ORIGEN]],PROGRAMAS_N[PROGRAMAS ORIGEN],PROGRAMAS_N[NIVEL],"")</f>
        <v>TÉCNICO</v>
      </c>
      <c r="D215" s="16" t="s">
        <v>127</v>
      </c>
      <c r="E215" s="14">
        <v>240201500</v>
      </c>
      <c r="F215" s="10" t="s">
        <v>390</v>
      </c>
      <c r="G215" s="10" cm="1">
        <f t="array" ref="G215">+_xlfn.XLOOKUP(Tabla9[[#This Row],[ESPACIO ACADÉMICO DESTINO]]&amp;Tabla9[[#This Row],[PROGRAMA DESTINO]],Tabla49[ESPACIO ACADÉMICO DESTINO]&amp;Tabla49[PROGRAMA],Tabla49[CÓDIGO],"")</f>
        <v>48260</v>
      </c>
      <c r="H215" s="10" t="s">
        <v>300</v>
      </c>
      <c r="I215" s="14" cm="1">
        <f t="array" ref="I215">+_xlfn.XLOOKUP(Tabla9[[#This Row],[ESPACIO ACADÉMICO DESTINO]]&amp;Tabla9[[#This Row],[PROGRAMA DESTINO]],Tabla49[ESPACIO ACADÉMICO DESTINO]&amp;Tabla49[PROGRAMA],Tabla49[CRÉDITOS],"")</f>
        <v>3</v>
      </c>
      <c r="J215" s="14">
        <v>4.5</v>
      </c>
      <c r="K215" s="10" t="s">
        <v>73</v>
      </c>
      <c r="X215" s="52" t="s">
        <v>107</v>
      </c>
      <c r="Y215" s="8">
        <v>73626</v>
      </c>
      <c r="Z215" s="8" t="s">
        <v>420</v>
      </c>
      <c r="AA215" s="8">
        <v>3</v>
      </c>
    </row>
    <row r="216" spans="3:27" ht="30" x14ac:dyDescent="0.25">
      <c r="C216" s="1" t="str">
        <f>_xlfn.XLOOKUP(Tabla9[[#This Row],[PROGRAMA ORIGEN]],PROGRAMAS_N[PROGRAMAS ORIGEN],PROGRAMAS_N[NIVEL],"")</f>
        <v>TECNÓLOGO</v>
      </c>
      <c r="D216" s="16" t="s">
        <v>84</v>
      </c>
      <c r="E216" s="14">
        <v>240201500</v>
      </c>
      <c r="F216" s="10" t="s">
        <v>390</v>
      </c>
      <c r="G216" s="10" cm="1">
        <f t="array" ref="G216">+_xlfn.XLOOKUP(Tabla9[[#This Row],[ESPACIO ACADÉMICO DESTINO]]&amp;Tabla9[[#This Row],[PROGRAMA DESTINO]],Tabla49[ESPACIO ACADÉMICO DESTINO]&amp;Tabla49[PROGRAMA],Tabla49[CÓDIGO],"")</f>
        <v>15135</v>
      </c>
      <c r="H216" s="10" t="s">
        <v>56</v>
      </c>
      <c r="I216" s="14" cm="1">
        <f t="array" ref="I216">+_xlfn.XLOOKUP(Tabla9[[#This Row],[ESPACIO ACADÉMICO DESTINO]]&amp;Tabla9[[#This Row],[PROGRAMA DESTINO]],Tabla49[ESPACIO ACADÉMICO DESTINO]&amp;Tabla49[PROGRAMA],Tabla49[CRÉDITOS],"")</f>
        <v>2</v>
      </c>
      <c r="J216" s="14">
        <v>4.5</v>
      </c>
      <c r="K216" s="10" t="s">
        <v>100</v>
      </c>
      <c r="X216" s="52" t="s">
        <v>107</v>
      </c>
      <c r="Y216" s="8">
        <v>73627</v>
      </c>
      <c r="Z216" s="8" t="s">
        <v>421</v>
      </c>
      <c r="AA216" s="8">
        <v>3</v>
      </c>
    </row>
    <row r="217" spans="3:27" ht="30" x14ac:dyDescent="0.25">
      <c r="C217" s="1" t="str">
        <f>_xlfn.XLOOKUP(Tabla9[[#This Row],[PROGRAMA ORIGEN]],PROGRAMAS_N[PROGRAMAS ORIGEN],PROGRAMAS_N[NIVEL],"")</f>
        <v>TECNÓLOGO</v>
      </c>
      <c r="D217" s="16" t="s">
        <v>84</v>
      </c>
      <c r="E217" s="14">
        <v>220501032</v>
      </c>
      <c r="F217" s="10" t="s">
        <v>422</v>
      </c>
      <c r="G217" s="10" cm="1">
        <f t="array" ref="G217">+_xlfn.XLOOKUP(Tabla9[[#This Row],[ESPACIO ACADÉMICO DESTINO]]&amp;Tabla9[[#This Row],[PROGRAMA DESTINO]],Tabla49[ESPACIO ACADÉMICO DESTINO]&amp;Tabla49[PROGRAMA],Tabla49[CÓDIGO],"")</f>
        <v>73420</v>
      </c>
      <c r="H217" s="10" t="s">
        <v>334</v>
      </c>
      <c r="I217" s="14" cm="1">
        <f t="array" ref="I217">+_xlfn.XLOOKUP(Tabla9[[#This Row],[ESPACIO ACADÉMICO DESTINO]]&amp;Tabla9[[#This Row],[PROGRAMA DESTINO]],Tabla49[ESPACIO ACADÉMICO DESTINO]&amp;Tabla49[PROGRAMA],Tabla49[CRÉDITOS],"")</f>
        <v>3</v>
      </c>
      <c r="J217" s="14">
        <v>4.5</v>
      </c>
      <c r="K217" s="10" t="s">
        <v>100</v>
      </c>
      <c r="X217" s="52" t="s">
        <v>107</v>
      </c>
      <c r="Y217" s="8">
        <v>16573</v>
      </c>
      <c r="Z217" s="8" t="s">
        <v>163</v>
      </c>
      <c r="AA217" s="8">
        <v>2</v>
      </c>
    </row>
    <row r="218" spans="3:27" ht="30" x14ac:dyDescent="0.25">
      <c r="C218" s="1" t="str">
        <f>_xlfn.XLOOKUP(Tabla9[[#This Row],[PROGRAMA ORIGEN]],PROGRAMAS_N[PROGRAMAS ORIGEN],PROGRAMAS_N[NIVEL],"")</f>
        <v>TECNÓLOGO</v>
      </c>
      <c r="D218" s="16" t="s">
        <v>84</v>
      </c>
      <c r="E218" s="14">
        <v>220501006</v>
      </c>
      <c r="F218" s="10" t="s">
        <v>423</v>
      </c>
      <c r="G218" s="10" cm="1">
        <f t="array" ref="G218">+_xlfn.XLOOKUP(Tabla9[[#This Row],[ESPACIO ACADÉMICO DESTINO]]&amp;Tabla9[[#This Row],[PROGRAMA DESTINO]],Tabla49[ESPACIO ACADÉMICO DESTINO]&amp;Tabla49[PROGRAMA],Tabla49[CÓDIGO],"")</f>
        <v>73424</v>
      </c>
      <c r="H218" s="10" t="s">
        <v>342</v>
      </c>
      <c r="I218" s="14" cm="1">
        <f t="array" ref="I218">+_xlfn.XLOOKUP(Tabla9[[#This Row],[ESPACIO ACADÉMICO DESTINO]]&amp;Tabla9[[#This Row],[PROGRAMA DESTINO]],Tabla49[ESPACIO ACADÉMICO DESTINO]&amp;Tabla49[PROGRAMA],Tabla49[CRÉDITOS],"")</f>
        <v>3</v>
      </c>
      <c r="J218" s="14">
        <v>4.5</v>
      </c>
      <c r="K218" s="10" t="s">
        <v>100</v>
      </c>
      <c r="X218" s="52" t="s">
        <v>107</v>
      </c>
      <c r="Y218" s="8">
        <v>73628</v>
      </c>
      <c r="Z218" s="8" t="s">
        <v>424</v>
      </c>
      <c r="AA218" s="8">
        <v>3</v>
      </c>
    </row>
    <row r="219" spans="3:27" ht="30" x14ac:dyDescent="0.25">
      <c r="C219" s="1" t="str">
        <f>_xlfn.XLOOKUP(Tabla9[[#This Row],[PROGRAMA ORIGEN]],PROGRAMAS_N[PROGRAMAS ORIGEN],PROGRAMAS_N[NIVEL],"")</f>
        <v>TECNÓLOGO</v>
      </c>
      <c r="D219" s="16" t="s">
        <v>84</v>
      </c>
      <c r="E219" s="14">
        <v>220501032</v>
      </c>
      <c r="F219" s="10" t="s">
        <v>422</v>
      </c>
      <c r="G219" s="10" cm="1">
        <f t="array" ref="G219">+_xlfn.XLOOKUP(Tabla9[[#This Row],[ESPACIO ACADÉMICO DESTINO]]&amp;Tabla9[[#This Row],[PROGRAMA DESTINO]],Tabla49[ESPACIO ACADÉMICO DESTINO]&amp;Tabla49[PROGRAMA],Tabla49[CÓDIGO],"")</f>
        <v>73425</v>
      </c>
      <c r="H219" s="10" t="s">
        <v>349</v>
      </c>
      <c r="I219" s="14" cm="1">
        <f t="array" ref="I219">+_xlfn.XLOOKUP(Tabla9[[#This Row],[ESPACIO ACADÉMICO DESTINO]]&amp;Tabla9[[#This Row],[PROGRAMA DESTINO]],Tabla49[ESPACIO ACADÉMICO DESTINO]&amp;Tabla49[PROGRAMA],Tabla49[CRÉDITOS],"")</f>
        <v>3</v>
      </c>
      <c r="J219" s="14">
        <v>4.5</v>
      </c>
      <c r="K219" s="10" t="s">
        <v>100</v>
      </c>
      <c r="X219" s="52" t="s">
        <v>107</v>
      </c>
      <c r="Y219" s="8">
        <v>73629</v>
      </c>
      <c r="Z219" s="8" t="s">
        <v>425</v>
      </c>
      <c r="AA219" s="8">
        <v>2</v>
      </c>
    </row>
    <row r="220" spans="3:27" ht="30" x14ac:dyDescent="0.25">
      <c r="C220" s="1" t="str">
        <f>_xlfn.XLOOKUP(Tabla9[[#This Row],[PROGRAMA ORIGEN]],PROGRAMAS_N[PROGRAMAS ORIGEN],PROGRAMAS_N[NIVEL],"")</f>
        <v>TECNÓLOGO</v>
      </c>
      <c r="D220" s="16" t="s">
        <v>84</v>
      </c>
      <c r="E220" s="14">
        <v>220501033</v>
      </c>
      <c r="F220" s="10" t="s">
        <v>426</v>
      </c>
      <c r="G220" s="10" cm="1">
        <f t="array" ref="G220">+_xlfn.XLOOKUP(Tabla9[[#This Row],[ESPACIO ACADÉMICO DESTINO]]&amp;Tabla9[[#This Row],[PROGRAMA DESTINO]],Tabla49[ESPACIO ACADÉMICO DESTINO]&amp;Tabla49[PROGRAMA],Tabla49[CÓDIGO],"")</f>
        <v>16879</v>
      </c>
      <c r="H220" s="10" t="s">
        <v>355</v>
      </c>
      <c r="I220" s="14" cm="1">
        <f t="array" ref="I220">+_xlfn.XLOOKUP(Tabla9[[#This Row],[ESPACIO ACADÉMICO DESTINO]]&amp;Tabla9[[#This Row],[PROGRAMA DESTINO]],Tabla49[ESPACIO ACADÉMICO DESTINO]&amp;Tabla49[PROGRAMA],Tabla49[CRÉDITOS],"")</f>
        <v>3</v>
      </c>
      <c r="J220" s="14">
        <v>4.5</v>
      </c>
      <c r="K220" s="10" t="s">
        <v>100</v>
      </c>
      <c r="X220" s="52" t="s">
        <v>107</v>
      </c>
      <c r="Y220" s="8">
        <v>73630</v>
      </c>
      <c r="Z220" s="8" t="s">
        <v>427</v>
      </c>
      <c r="AA220" s="8">
        <v>3</v>
      </c>
    </row>
    <row r="221" spans="3:27" ht="30" x14ac:dyDescent="0.25">
      <c r="C221" s="1" t="str">
        <f>_xlfn.XLOOKUP(Tabla9[[#This Row],[PROGRAMA ORIGEN]],PROGRAMAS_N[PROGRAMAS ORIGEN],PROGRAMAS_N[NIVEL],"")</f>
        <v>TECNÓLOGO</v>
      </c>
      <c r="D221" s="16" t="s">
        <v>84</v>
      </c>
      <c r="E221" s="14">
        <v>220501034</v>
      </c>
      <c r="F221" s="10" t="s">
        <v>428</v>
      </c>
      <c r="G221" s="10" cm="1">
        <f t="array" ref="G221">+_xlfn.XLOOKUP(Tabla9[[#This Row],[ESPACIO ACADÉMICO DESTINO]]&amp;Tabla9[[#This Row],[PROGRAMA DESTINO]],Tabla49[ESPACIO ACADÉMICO DESTINO]&amp;Tabla49[PROGRAMA],Tabla49[CÓDIGO],"")</f>
        <v>16826</v>
      </c>
      <c r="H221" s="10" t="s">
        <v>352</v>
      </c>
      <c r="I221" s="14" cm="1">
        <f t="array" ref="I221">+_xlfn.XLOOKUP(Tabla9[[#This Row],[ESPACIO ACADÉMICO DESTINO]]&amp;Tabla9[[#This Row],[PROGRAMA DESTINO]],Tabla49[ESPACIO ACADÉMICO DESTINO]&amp;Tabla49[PROGRAMA],Tabla49[CRÉDITOS],"")</f>
        <v>3</v>
      </c>
      <c r="J221" s="14">
        <v>4.5</v>
      </c>
      <c r="K221" s="10" t="s">
        <v>100</v>
      </c>
      <c r="X221" s="52" t="s">
        <v>107</v>
      </c>
      <c r="Y221" s="8">
        <v>73631</v>
      </c>
      <c r="Z221" s="8" t="s">
        <v>429</v>
      </c>
      <c r="AA221" s="8">
        <v>3</v>
      </c>
    </row>
    <row r="222" spans="3:27" ht="30" x14ac:dyDescent="0.25">
      <c r="C222" s="1" t="str">
        <f>_xlfn.XLOOKUP(Tabla9[[#This Row],[PROGRAMA ORIGEN]],PROGRAMAS_N[PROGRAMAS ORIGEN],PROGRAMAS_N[NIVEL],"")</f>
        <v>TECNÓLOGO</v>
      </c>
      <c r="D222" s="16" t="s">
        <v>84</v>
      </c>
      <c r="E222" s="14">
        <v>220501035</v>
      </c>
      <c r="F222" s="10" t="s">
        <v>430</v>
      </c>
      <c r="G222" s="10" cm="1">
        <f t="array" ref="G222">+_xlfn.XLOOKUP(Tabla9[[#This Row],[ESPACIO ACADÉMICO DESTINO]]&amp;Tabla9[[#This Row],[PROGRAMA DESTINO]],Tabla49[ESPACIO ACADÉMICO DESTINO]&amp;Tabla49[PROGRAMA],Tabla49[CÓDIGO],"")</f>
        <v>16883</v>
      </c>
      <c r="H222" s="10" t="s">
        <v>362</v>
      </c>
      <c r="I222" s="14" cm="1">
        <f t="array" ref="I222">+_xlfn.XLOOKUP(Tabla9[[#This Row],[ESPACIO ACADÉMICO DESTINO]]&amp;Tabla9[[#This Row],[PROGRAMA DESTINO]],Tabla49[ESPACIO ACADÉMICO DESTINO]&amp;Tabla49[PROGRAMA],Tabla49[CRÉDITOS],"")</f>
        <v>3</v>
      </c>
      <c r="J222" s="14">
        <v>4.5</v>
      </c>
      <c r="K222" s="10" t="s">
        <v>100</v>
      </c>
      <c r="X222" s="52" t="s">
        <v>107</v>
      </c>
      <c r="Y222" s="8">
        <v>73632</v>
      </c>
      <c r="Z222" s="8" t="s">
        <v>431</v>
      </c>
      <c r="AA222" s="8">
        <v>3</v>
      </c>
    </row>
    <row r="223" spans="3:27" ht="30" x14ac:dyDescent="0.25">
      <c r="C223" s="1" t="str">
        <f>_xlfn.XLOOKUP(Tabla9[[#This Row],[PROGRAMA ORIGEN]],PROGRAMAS_N[PROGRAMAS ORIGEN],PROGRAMAS_N[NIVEL],"")</f>
        <v>TECNÓLOGO</v>
      </c>
      <c r="D223" s="16" t="s">
        <v>84</v>
      </c>
      <c r="E223" s="14">
        <v>220501009</v>
      </c>
      <c r="F223" s="10" t="s">
        <v>432</v>
      </c>
      <c r="G223" s="10" cm="1">
        <f t="array" ref="G223">+_xlfn.XLOOKUP(Tabla9[[#This Row],[ESPACIO ACADÉMICO DESTINO]]&amp;Tabla9[[#This Row],[PROGRAMA DESTINO]],Tabla49[ESPACIO ACADÉMICO DESTINO]&amp;Tabla49[PROGRAMA],Tabla49[CÓDIGO],"")</f>
        <v>73428</v>
      </c>
      <c r="H223" s="10" t="s">
        <v>371</v>
      </c>
      <c r="I223" s="14" cm="1">
        <f t="array" ref="I223">+_xlfn.XLOOKUP(Tabla9[[#This Row],[ESPACIO ACADÉMICO DESTINO]]&amp;Tabla9[[#This Row],[PROGRAMA DESTINO]],Tabla49[ESPACIO ACADÉMICO DESTINO]&amp;Tabla49[PROGRAMA],Tabla49[CRÉDITOS],"")</f>
        <v>3</v>
      </c>
      <c r="J223" s="14">
        <v>4.5</v>
      </c>
      <c r="K223" s="10" t="s">
        <v>100</v>
      </c>
      <c r="X223" s="52" t="s">
        <v>107</v>
      </c>
      <c r="Y223" s="8">
        <v>73633</v>
      </c>
      <c r="Z223" s="8" t="s">
        <v>201</v>
      </c>
      <c r="AA223" s="8">
        <v>2</v>
      </c>
    </row>
    <row r="224" spans="3:27" ht="30" x14ac:dyDescent="0.25">
      <c r="C224" s="1" t="str">
        <f>_xlfn.XLOOKUP(Tabla9[[#This Row],[PROGRAMA ORIGEN]],PROGRAMAS_N[PROGRAMAS ORIGEN],PROGRAMAS_N[NIVEL],"")</f>
        <v>TECNÓLOGO</v>
      </c>
      <c r="D224" s="16" t="s">
        <v>84</v>
      </c>
      <c r="E224" s="14">
        <v>220501035</v>
      </c>
      <c r="F224" s="10" t="s">
        <v>430</v>
      </c>
      <c r="G224" s="10" cm="1">
        <f t="array" ref="G224">+_xlfn.XLOOKUP(Tabla9[[#This Row],[ESPACIO ACADÉMICO DESTINO]]&amp;Tabla9[[#This Row],[PROGRAMA DESTINO]],Tabla49[ESPACIO ACADÉMICO DESTINO]&amp;Tabla49[PROGRAMA],Tabla49[CÓDIGO],"")</f>
        <v>16841</v>
      </c>
      <c r="H224" s="10" t="s">
        <v>372</v>
      </c>
      <c r="I224" s="14" cm="1">
        <f t="array" ref="I224">+_xlfn.XLOOKUP(Tabla9[[#This Row],[ESPACIO ACADÉMICO DESTINO]]&amp;Tabla9[[#This Row],[PROGRAMA DESTINO]],Tabla49[ESPACIO ACADÉMICO DESTINO]&amp;Tabla49[PROGRAMA],Tabla49[CRÉDITOS],"")</f>
        <v>3</v>
      </c>
      <c r="J224" s="14">
        <v>4.5</v>
      </c>
      <c r="K224" s="10" t="s">
        <v>100</v>
      </c>
      <c r="X224" s="52" t="s">
        <v>107</v>
      </c>
      <c r="Y224" s="8">
        <v>73634</v>
      </c>
      <c r="Z224" s="8" t="s">
        <v>433</v>
      </c>
      <c r="AA224" s="8">
        <v>3</v>
      </c>
    </row>
    <row r="225" spans="3:27" ht="30" x14ac:dyDescent="0.25">
      <c r="C225" s="1" t="str">
        <f>_xlfn.XLOOKUP(Tabla9[[#This Row],[PROGRAMA ORIGEN]],PROGRAMAS_N[PROGRAMAS ORIGEN],PROGRAMAS_N[NIVEL],"")</f>
        <v>TECNÓLOGO</v>
      </c>
      <c r="D225" s="16" t="s">
        <v>84</v>
      </c>
      <c r="E225" s="14">
        <v>220501035</v>
      </c>
      <c r="F225" s="10" t="s">
        <v>430</v>
      </c>
      <c r="G225" s="10" cm="1">
        <f t="array" ref="G225">+_xlfn.XLOOKUP(Tabla9[[#This Row],[ESPACIO ACADÉMICO DESTINO]]&amp;Tabla9[[#This Row],[PROGRAMA DESTINO]],Tabla49[ESPACIO ACADÉMICO DESTINO]&amp;Tabla49[PROGRAMA],Tabla49[CÓDIGO],"")</f>
        <v>73431</v>
      </c>
      <c r="H225" s="10" t="s">
        <v>386</v>
      </c>
      <c r="I225" s="14" cm="1">
        <f t="array" ref="I225">+_xlfn.XLOOKUP(Tabla9[[#This Row],[ESPACIO ACADÉMICO DESTINO]]&amp;Tabla9[[#This Row],[PROGRAMA DESTINO]],Tabla49[ESPACIO ACADÉMICO DESTINO]&amp;Tabla49[PROGRAMA],Tabla49[CRÉDITOS],"")</f>
        <v>3</v>
      </c>
      <c r="J225" s="14">
        <v>4.5</v>
      </c>
      <c r="K225" s="10" t="s">
        <v>100</v>
      </c>
      <c r="X225" s="52" t="s">
        <v>107</v>
      </c>
      <c r="Y225" s="8">
        <v>73635</v>
      </c>
      <c r="Z225" s="8" t="s">
        <v>434</v>
      </c>
      <c r="AA225" s="8">
        <v>3</v>
      </c>
    </row>
    <row r="226" spans="3:27" ht="30" x14ac:dyDescent="0.25">
      <c r="C226" s="1" t="str">
        <f>_xlfn.XLOOKUP(Tabla9[[#This Row],[PROGRAMA ORIGEN]],PROGRAMAS_N[PROGRAMAS ORIGEN],PROGRAMAS_N[NIVEL],"")</f>
        <v>TECNÓLOGO</v>
      </c>
      <c r="D226" s="16" t="s">
        <v>170</v>
      </c>
      <c r="E226" s="14">
        <v>220501046</v>
      </c>
      <c r="F226" s="10" t="s">
        <v>435</v>
      </c>
      <c r="G226" s="10" cm="1">
        <f t="array" ref="G226">+_xlfn.XLOOKUP(Tabla9[[#This Row],[ESPACIO ACADÉMICO DESTINO]]&amp;Tabla9[[#This Row],[PROGRAMA DESTINO]],Tabla49[ESPACIO ACADÉMICO DESTINO]&amp;Tabla49[PROGRAMA],Tabla49[CÓDIGO],"")</f>
        <v>73418</v>
      </c>
      <c r="H226" s="10" t="s">
        <v>321</v>
      </c>
      <c r="I226" s="14" cm="1">
        <f t="array" ref="I226">+_xlfn.XLOOKUP(Tabla9[[#This Row],[ESPACIO ACADÉMICO DESTINO]]&amp;Tabla9[[#This Row],[PROGRAMA DESTINO]],Tabla49[ESPACIO ACADÉMICO DESTINO]&amp;Tabla49[PROGRAMA],Tabla49[CRÉDITOS],"")</f>
        <v>3</v>
      </c>
      <c r="J226" s="14">
        <v>4.5</v>
      </c>
      <c r="K226" s="10" t="s">
        <v>100</v>
      </c>
      <c r="X226" s="52" t="s">
        <v>107</v>
      </c>
      <c r="Y226" s="8">
        <v>73636</v>
      </c>
      <c r="Z226" s="8" t="s">
        <v>429</v>
      </c>
      <c r="AA226" s="8">
        <v>3</v>
      </c>
    </row>
    <row r="227" spans="3:27" ht="30" x14ac:dyDescent="0.25">
      <c r="C227" s="1" t="str">
        <f>_xlfn.XLOOKUP(Tabla9[[#This Row],[PROGRAMA ORIGEN]],PROGRAMAS_N[PROGRAMAS ORIGEN],PROGRAMAS_N[NIVEL],"")</f>
        <v>TECNÓLOGO</v>
      </c>
      <c r="D227" s="16" t="s">
        <v>170</v>
      </c>
      <c r="E227" s="14">
        <v>240201524</v>
      </c>
      <c r="F227" s="10" t="s">
        <v>436</v>
      </c>
      <c r="G227" s="10" cm="1">
        <f t="array" ref="G227">+_xlfn.XLOOKUP(Tabla9[[#This Row],[ESPACIO ACADÉMICO DESTINO]]&amp;Tabla9[[#This Row],[PROGRAMA DESTINO]],Tabla49[ESPACIO ACADÉMICO DESTINO]&amp;Tabla49[PROGRAMA],Tabla49[CÓDIGO],"")</f>
        <v>15135</v>
      </c>
      <c r="H227" s="10" t="s">
        <v>56</v>
      </c>
      <c r="I227" s="14" cm="1">
        <f t="array" ref="I227">+_xlfn.XLOOKUP(Tabla9[[#This Row],[ESPACIO ACADÉMICO DESTINO]]&amp;Tabla9[[#This Row],[PROGRAMA DESTINO]],Tabla49[ESPACIO ACADÉMICO DESTINO]&amp;Tabla49[PROGRAMA],Tabla49[CRÉDITOS],"")</f>
        <v>2</v>
      </c>
      <c r="J227" s="14">
        <v>4.5</v>
      </c>
      <c r="K227" s="10" t="s">
        <v>100</v>
      </c>
      <c r="X227" s="52" t="s">
        <v>107</v>
      </c>
      <c r="Y227" s="8">
        <v>73637</v>
      </c>
      <c r="Z227" s="8" t="s">
        <v>295</v>
      </c>
      <c r="AA227" s="8">
        <v>3</v>
      </c>
    </row>
    <row r="228" spans="3:27" ht="30" x14ac:dyDescent="0.25">
      <c r="C228" s="1" t="str">
        <f>_xlfn.XLOOKUP(Tabla9[[#This Row],[PROGRAMA ORIGEN]],PROGRAMAS_N[PROGRAMAS ORIGEN],PROGRAMAS_N[NIVEL],"")</f>
        <v>TECNÓLOGO</v>
      </c>
      <c r="D228" s="16" t="s">
        <v>170</v>
      </c>
      <c r="E228" s="14">
        <v>220501106</v>
      </c>
      <c r="F228" s="10" t="s">
        <v>437</v>
      </c>
      <c r="G228" s="10" cm="1">
        <f t="array" ref="G228">+_xlfn.XLOOKUP(Tabla9[[#This Row],[ESPACIO ACADÉMICO DESTINO]]&amp;Tabla9[[#This Row],[PROGRAMA DESTINO]],Tabla49[ESPACIO ACADÉMICO DESTINO]&amp;Tabla49[PROGRAMA],Tabla49[CÓDIGO],"")</f>
        <v>73424</v>
      </c>
      <c r="H228" s="10" t="s">
        <v>342</v>
      </c>
      <c r="I228" s="14" cm="1">
        <f t="array" ref="I228">+_xlfn.XLOOKUP(Tabla9[[#This Row],[ESPACIO ACADÉMICO DESTINO]]&amp;Tabla9[[#This Row],[PROGRAMA DESTINO]],Tabla49[ESPACIO ACADÉMICO DESTINO]&amp;Tabla49[PROGRAMA],Tabla49[CRÉDITOS],"")</f>
        <v>3</v>
      </c>
      <c r="J228" s="14">
        <v>4.5</v>
      </c>
      <c r="K228" s="10" t="s">
        <v>100</v>
      </c>
      <c r="X228" s="52" t="s">
        <v>107</v>
      </c>
      <c r="Y228" s="8">
        <v>95112</v>
      </c>
      <c r="Z228" s="8" t="s">
        <v>202</v>
      </c>
      <c r="AA228" s="8">
        <v>2</v>
      </c>
    </row>
    <row r="229" spans="3:27" ht="30" x14ac:dyDescent="0.25">
      <c r="C229" s="1" t="str">
        <f>_xlfn.XLOOKUP(Tabla9[[#This Row],[PROGRAMA ORIGEN]],PROGRAMAS_N[PROGRAMAS ORIGEN],PROGRAMAS_N[NIVEL],"")</f>
        <v>TECNÓLOGO</v>
      </c>
      <c r="D229" s="16" t="s">
        <v>170</v>
      </c>
      <c r="E229" s="14">
        <v>220501106</v>
      </c>
      <c r="F229" s="10" t="s">
        <v>437</v>
      </c>
      <c r="G229" s="10" cm="1">
        <f t="array" ref="G229">+_xlfn.XLOOKUP(Tabla9[[#This Row],[ESPACIO ACADÉMICO DESTINO]]&amp;Tabla9[[#This Row],[PROGRAMA DESTINO]],Tabla49[ESPACIO ACADÉMICO DESTINO]&amp;Tabla49[PROGRAMA],Tabla49[CÓDIGO],"")</f>
        <v>73426</v>
      </c>
      <c r="H229" s="10" t="s">
        <v>356</v>
      </c>
      <c r="I229" s="14" cm="1">
        <f t="array" ref="I229">+_xlfn.XLOOKUP(Tabla9[[#This Row],[ESPACIO ACADÉMICO DESTINO]]&amp;Tabla9[[#This Row],[PROGRAMA DESTINO]],Tabla49[ESPACIO ACADÉMICO DESTINO]&amp;Tabla49[PROGRAMA],Tabla49[CRÉDITOS],"")</f>
        <v>3</v>
      </c>
      <c r="J229" s="14">
        <v>4.5</v>
      </c>
      <c r="K229" s="10" t="s">
        <v>100</v>
      </c>
      <c r="X229" s="52" t="s">
        <v>107</v>
      </c>
      <c r="Y229" s="8">
        <v>16698</v>
      </c>
      <c r="Z229" s="8" t="s">
        <v>374</v>
      </c>
      <c r="AA229" s="8">
        <v>2</v>
      </c>
    </row>
    <row r="230" spans="3:27" ht="30" x14ac:dyDescent="0.25">
      <c r="C230" s="1" t="str">
        <f>_xlfn.XLOOKUP(Tabla9[[#This Row],[PROGRAMA ORIGEN]],PROGRAMAS_N[PROGRAMAS ORIGEN],PROGRAMAS_N[NIVEL],"")</f>
        <v>TECNÓLOGO</v>
      </c>
      <c r="D230" s="16" t="s">
        <v>170</v>
      </c>
      <c r="E230" s="14">
        <v>220501014</v>
      </c>
      <c r="F230" s="10" t="s">
        <v>438</v>
      </c>
      <c r="G230" s="10" cm="1">
        <f t="array" ref="G230">+_xlfn.XLOOKUP(Tabla9[[#This Row],[ESPACIO ACADÉMICO DESTINO]]&amp;Tabla9[[#This Row],[PROGRAMA DESTINO]],Tabla49[ESPACIO ACADÉMICO DESTINO]&amp;Tabla49[PROGRAMA],Tabla49[CÓDIGO],"")</f>
        <v>16885</v>
      </c>
      <c r="H230" s="10" t="s">
        <v>370</v>
      </c>
      <c r="I230" s="14" cm="1">
        <f t="array" ref="I230">+_xlfn.XLOOKUP(Tabla9[[#This Row],[ESPACIO ACADÉMICO DESTINO]]&amp;Tabla9[[#This Row],[PROGRAMA DESTINO]],Tabla49[ESPACIO ACADÉMICO DESTINO]&amp;Tabla49[PROGRAMA],Tabla49[CRÉDITOS],"")</f>
        <v>3</v>
      </c>
      <c r="J230" s="14">
        <v>4.5</v>
      </c>
      <c r="K230" s="10" t="s">
        <v>100</v>
      </c>
      <c r="X230" s="52" t="s">
        <v>107</v>
      </c>
      <c r="Y230" s="8">
        <v>16937</v>
      </c>
      <c r="Z230" s="8" t="s">
        <v>439</v>
      </c>
      <c r="AA230" s="8">
        <v>2</v>
      </c>
    </row>
    <row r="231" spans="3:27" ht="30" x14ac:dyDescent="0.25">
      <c r="C231" s="1" t="str">
        <f>_xlfn.XLOOKUP(Tabla9[[#This Row],[PROGRAMA ORIGEN]],PROGRAMAS_N[PROGRAMAS ORIGEN],PROGRAMAS_N[NIVEL],"")</f>
        <v>TECNÓLOGO</v>
      </c>
      <c r="D231" s="16" t="s">
        <v>170</v>
      </c>
      <c r="E231" s="14">
        <v>220501014</v>
      </c>
      <c r="F231" s="10" t="s">
        <v>438</v>
      </c>
      <c r="G231" s="10" cm="1">
        <f t="array" ref="G231">+_xlfn.XLOOKUP(Tabla9[[#This Row],[ESPACIO ACADÉMICO DESTINO]]&amp;Tabla9[[#This Row],[PROGRAMA DESTINO]],Tabla49[ESPACIO ACADÉMICO DESTINO]&amp;Tabla49[PROGRAMA],Tabla49[CÓDIGO],"")</f>
        <v>16836</v>
      </c>
      <c r="H231" s="10" t="s">
        <v>367</v>
      </c>
      <c r="I231" s="14" cm="1">
        <f t="array" ref="I231">+_xlfn.XLOOKUP(Tabla9[[#This Row],[ESPACIO ACADÉMICO DESTINO]]&amp;Tabla9[[#This Row],[PROGRAMA DESTINO]],Tabla49[ESPACIO ACADÉMICO DESTINO]&amp;Tabla49[PROGRAMA],Tabla49[CRÉDITOS],"")</f>
        <v>3</v>
      </c>
      <c r="J231" s="14">
        <v>4.5</v>
      </c>
      <c r="K231" s="10" t="s">
        <v>100</v>
      </c>
      <c r="X231" s="52" t="s">
        <v>107</v>
      </c>
      <c r="Y231" s="8">
        <v>73638</v>
      </c>
      <c r="Z231" s="8" t="s">
        <v>213</v>
      </c>
      <c r="AA231" s="8">
        <v>2</v>
      </c>
    </row>
    <row r="232" spans="3:27" ht="30" x14ac:dyDescent="0.25">
      <c r="C232" s="1" t="str">
        <f>_xlfn.XLOOKUP(Tabla9[[#This Row],[PROGRAMA ORIGEN]],PROGRAMAS_N[PROGRAMAS ORIGEN],PROGRAMAS_N[NIVEL],"")</f>
        <v>TECNÓLOGO</v>
      </c>
      <c r="D232" s="16" t="s">
        <v>170</v>
      </c>
      <c r="E232" s="14">
        <v>220501104</v>
      </c>
      <c r="F232" s="10" t="s">
        <v>440</v>
      </c>
      <c r="G232" s="10" cm="1">
        <f t="array" ref="G232">+_xlfn.XLOOKUP(Tabla9[[#This Row],[ESPACIO ACADÉMICO DESTINO]]&amp;Tabla9[[#This Row],[PROGRAMA DESTINO]],Tabla49[ESPACIO ACADÉMICO DESTINO]&amp;Tabla49[PROGRAMA],Tabla49[CÓDIGO],"")</f>
        <v>16846</v>
      </c>
      <c r="H232" s="10" t="s">
        <v>373</v>
      </c>
      <c r="I232" s="14" cm="1">
        <f t="array" ref="I232">+_xlfn.XLOOKUP(Tabla9[[#This Row],[ESPACIO ACADÉMICO DESTINO]]&amp;Tabla9[[#This Row],[PROGRAMA DESTINO]],Tabla49[ESPACIO ACADÉMICO DESTINO]&amp;Tabla49[PROGRAMA],Tabla49[CRÉDITOS],"")</f>
        <v>2</v>
      </c>
      <c r="J232" s="14">
        <v>4.5</v>
      </c>
      <c r="K232" s="10" t="s">
        <v>100</v>
      </c>
      <c r="X232" s="52" t="s">
        <v>107</v>
      </c>
      <c r="Y232" s="8">
        <v>73639</v>
      </c>
      <c r="Z232" s="8" t="s">
        <v>441</v>
      </c>
      <c r="AA232" s="8">
        <v>2</v>
      </c>
    </row>
    <row r="233" spans="3:27" ht="30" x14ac:dyDescent="0.25">
      <c r="C233" s="1" t="str">
        <f>_xlfn.XLOOKUP(Tabla9[[#This Row],[PROGRAMA ORIGEN]],PROGRAMAS_N[PROGRAMAS ORIGEN],PROGRAMAS_N[NIVEL],"")</f>
        <v>TECNÓLOGO</v>
      </c>
      <c r="D233" s="16" t="s">
        <v>170</v>
      </c>
      <c r="E233" s="14">
        <v>220501091</v>
      </c>
      <c r="F233" s="10" t="s">
        <v>442</v>
      </c>
      <c r="G233" s="10" cm="1">
        <f t="array" ref="G233">+_xlfn.XLOOKUP(Tabla9[[#This Row],[ESPACIO ACADÉMICO DESTINO]]&amp;Tabla9[[#This Row],[PROGRAMA DESTINO]],Tabla49[ESPACIO ACADÉMICO DESTINO]&amp;Tabla49[PROGRAMA],Tabla49[CÓDIGO],"")</f>
        <v>16850</v>
      </c>
      <c r="H233" s="10" t="s">
        <v>379</v>
      </c>
      <c r="I233" s="14" cm="1">
        <f t="array" ref="I233">+_xlfn.XLOOKUP(Tabla9[[#This Row],[ESPACIO ACADÉMICO DESTINO]]&amp;Tabla9[[#This Row],[PROGRAMA DESTINO]],Tabla49[ESPACIO ACADÉMICO DESTINO]&amp;Tabla49[PROGRAMA],Tabla49[CRÉDITOS],"")</f>
        <v>2</v>
      </c>
      <c r="J233" s="14">
        <v>4.5</v>
      </c>
      <c r="K233" s="10" t="s">
        <v>100</v>
      </c>
      <c r="X233" s="52" t="s">
        <v>107</v>
      </c>
      <c r="Y233" s="8">
        <v>73640</v>
      </c>
      <c r="Z233" s="8" t="s">
        <v>443</v>
      </c>
      <c r="AA233" s="8">
        <v>2</v>
      </c>
    </row>
    <row r="234" spans="3:27" ht="30" x14ac:dyDescent="0.25">
      <c r="C234" s="1" t="str">
        <f>_xlfn.XLOOKUP(Tabla9[[#This Row],[PROGRAMA ORIGEN]],PROGRAMAS_N[PROGRAMAS ORIGEN],PROGRAMAS_N[NIVEL],"")</f>
        <v>TECNÓLOGO</v>
      </c>
      <c r="D234" s="16" t="s">
        <v>170</v>
      </c>
      <c r="E234" s="14">
        <v>220501105</v>
      </c>
      <c r="F234" s="10" t="s">
        <v>444</v>
      </c>
      <c r="G234" s="10" cm="1">
        <f t="array" ref="G234">+_xlfn.XLOOKUP(Tabla9[[#This Row],[ESPACIO ACADÉMICO DESTINO]]&amp;Tabla9[[#This Row],[PROGRAMA DESTINO]],Tabla49[ESPACIO ACADÉMICO DESTINO]&amp;Tabla49[PROGRAMA],Tabla49[CÓDIGO],"")</f>
        <v>16854</v>
      </c>
      <c r="H234" s="10" t="s">
        <v>384</v>
      </c>
      <c r="I234" s="14" cm="1">
        <f t="array" ref="I234">+_xlfn.XLOOKUP(Tabla9[[#This Row],[ESPACIO ACADÉMICO DESTINO]]&amp;Tabla9[[#This Row],[PROGRAMA DESTINO]],Tabla49[ESPACIO ACADÉMICO DESTINO]&amp;Tabla49[PROGRAMA],Tabla49[CRÉDITOS],"")</f>
        <v>3</v>
      </c>
      <c r="J234" s="14">
        <v>4.5</v>
      </c>
      <c r="K234" s="10" t="s">
        <v>100</v>
      </c>
      <c r="X234" s="52" t="s">
        <v>107</v>
      </c>
      <c r="Y234" s="8">
        <v>73641</v>
      </c>
      <c r="Z234" s="8" t="s">
        <v>420</v>
      </c>
      <c r="AA234" s="8">
        <v>3</v>
      </c>
    </row>
    <row r="235" spans="3:27" ht="30" x14ac:dyDescent="0.25">
      <c r="C235" s="1" t="str">
        <f>_xlfn.XLOOKUP(Tabla9[[#This Row],[PROGRAMA ORIGEN]],PROGRAMAS_N[PROGRAMAS ORIGEN],PROGRAMAS_N[NIVEL],"")</f>
        <v>TÉCNICO</v>
      </c>
      <c r="D235" s="16" t="s">
        <v>174</v>
      </c>
      <c r="E235" s="14">
        <v>280101175</v>
      </c>
      <c r="F235" s="10" t="s">
        <v>445</v>
      </c>
      <c r="G235" s="10" cm="1">
        <f t="array" ref="G235">+_xlfn.XLOOKUP(Tabla9[[#This Row],[ESPACIO ACADÉMICO DESTINO]]&amp;Tabla9[[#This Row],[PROGRAMA DESTINO]],Tabla49[ESPACIO ACADÉMICO DESTINO]&amp;Tabla49[PROGRAMA],Tabla49[CÓDIGO],"")</f>
        <v>73421</v>
      </c>
      <c r="H235" s="10" t="s">
        <v>328</v>
      </c>
      <c r="I235" s="14" cm="1">
        <f t="array" ref="I235">+_xlfn.XLOOKUP(Tabla9[[#This Row],[ESPACIO ACADÉMICO DESTINO]]&amp;Tabla9[[#This Row],[PROGRAMA DESTINO]],Tabla49[ESPACIO ACADÉMICO DESTINO]&amp;Tabla49[PROGRAMA],Tabla49[CRÉDITOS],"")</f>
        <v>3</v>
      </c>
      <c r="J235" s="14">
        <v>4.5</v>
      </c>
      <c r="K235" s="10" t="s">
        <v>100</v>
      </c>
      <c r="X235" s="52" t="s">
        <v>107</v>
      </c>
      <c r="Y235" s="8">
        <v>73642</v>
      </c>
      <c r="Z235" s="8" t="s">
        <v>295</v>
      </c>
      <c r="AA235" s="8">
        <v>3</v>
      </c>
    </row>
    <row r="236" spans="3:27" ht="30" x14ac:dyDescent="0.25">
      <c r="C236" s="1" t="str">
        <f>_xlfn.XLOOKUP(Tabla9[[#This Row],[PROGRAMA ORIGEN]],PROGRAMAS_N[PROGRAMAS ORIGEN],PROGRAMAS_N[NIVEL],"")</f>
        <v>TÉCNICO</v>
      </c>
      <c r="D236" s="16" t="s">
        <v>174</v>
      </c>
      <c r="E236" s="14">
        <v>240201524</v>
      </c>
      <c r="F236" s="10" t="s">
        <v>436</v>
      </c>
      <c r="G236" s="10" cm="1">
        <f t="array" ref="G236">+_xlfn.XLOOKUP(Tabla9[[#This Row],[ESPACIO ACADÉMICO DESTINO]]&amp;Tabla9[[#This Row],[PROGRAMA DESTINO]],Tabla49[ESPACIO ACADÉMICO DESTINO]&amp;Tabla49[PROGRAMA],Tabla49[CÓDIGO],"")</f>
        <v>15135</v>
      </c>
      <c r="H236" s="10" t="s">
        <v>56</v>
      </c>
      <c r="I236" s="14" cm="1">
        <f t="array" ref="I236">+_xlfn.XLOOKUP(Tabla9[[#This Row],[ESPACIO ACADÉMICO DESTINO]]&amp;Tabla9[[#This Row],[PROGRAMA DESTINO]],Tabla49[ESPACIO ACADÉMICO DESTINO]&amp;Tabla49[PROGRAMA],Tabla49[CRÉDITOS],"")</f>
        <v>2</v>
      </c>
      <c r="J236" s="14">
        <v>4.5</v>
      </c>
      <c r="K236" s="10" t="s">
        <v>100</v>
      </c>
      <c r="X236" s="52" t="s">
        <v>107</v>
      </c>
      <c r="Y236" s="8">
        <v>73643</v>
      </c>
      <c r="Z236" s="8" t="s">
        <v>446</v>
      </c>
      <c r="AA236" s="8">
        <v>2</v>
      </c>
    </row>
    <row r="237" spans="3:27" ht="30" x14ac:dyDescent="0.25">
      <c r="C237" s="1" t="str">
        <f>_xlfn.XLOOKUP(Tabla9[[#This Row],[PROGRAMA ORIGEN]],PROGRAMAS_N[PROGRAMAS ORIGEN],PROGRAMAS_N[NIVEL],"")</f>
        <v>TÉCNICO</v>
      </c>
      <c r="D237" s="16" t="s">
        <v>174</v>
      </c>
      <c r="E237" s="14">
        <v>220501046</v>
      </c>
      <c r="F237" s="10" t="s">
        <v>435</v>
      </c>
      <c r="G237" s="10" cm="1">
        <f t="array" ref="G237">+_xlfn.XLOOKUP(Tabla9[[#This Row],[ESPACIO ACADÉMICO DESTINO]]&amp;Tabla9[[#This Row],[PROGRAMA DESTINO]],Tabla49[ESPACIO ACADÉMICO DESTINO]&amp;Tabla49[PROGRAMA],Tabla49[CÓDIGO],"")</f>
        <v>73418</v>
      </c>
      <c r="H237" s="10" t="s">
        <v>321</v>
      </c>
      <c r="I237" s="14" cm="1">
        <f t="array" ref="I237">+_xlfn.XLOOKUP(Tabla9[[#This Row],[ESPACIO ACADÉMICO DESTINO]]&amp;Tabla9[[#This Row],[PROGRAMA DESTINO]],Tabla49[ESPACIO ACADÉMICO DESTINO]&amp;Tabla49[PROGRAMA],Tabla49[CRÉDITOS],"")</f>
        <v>3</v>
      </c>
      <c r="J237" s="14">
        <v>4.5</v>
      </c>
      <c r="K237" s="10" t="s">
        <v>100</v>
      </c>
      <c r="X237" s="52" t="s">
        <v>107</v>
      </c>
      <c r="Y237" s="8">
        <v>73644</v>
      </c>
      <c r="Z237" s="8" t="s">
        <v>447</v>
      </c>
      <c r="AA237" s="8">
        <v>2</v>
      </c>
    </row>
    <row r="238" spans="3:27" ht="45" x14ac:dyDescent="0.25">
      <c r="C238" s="1" t="str">
        <f>_xlfn.XLOOKUP(Tabla9[[#This Row],[PROGRAMA ORIGEN]],PROGRAMAS_N[PROGRAMAS ORIGEN],PROGRAMAS_N[NIVEL],"")</f>
        <v>TÉCNICO</v>
      </c>
      <c r="D238" s="16" t="s">
        <v>174</v>
      </c>
      <c r="E238" s="14">
        <v>240201528</v>
      </c>
      <c r="F238" s="10" t="s">
        <v>448</v>
      </c>
      <c r="G238" s="10" cm="1">
        <f t="array" ref="G238">+_xlfn.XLOOKUP(Tabla9[[#This Row],[ESPACIO ACADÉMICO DESTINO]]&amp;Tabla9[[#This Row],[PROGRAMA DESTINO]],Tabla49[ESPACIO ACADÉMICO DESTINO]&amp;Tabla49[PROGRAMA],Tabla49[CÓDIGO],"")</f>
        <v>16869</v>
      </c>
      <c r="H238" s="10" t="s">
        <v>325</v>
      </c>
      <c r="I238" s="14" cm="1">
        <f t="array" ref="I238">+_xlfn.XLOOKUP(Tabla9[[#This Row],[ESPACIO ACADÉMICO DESTINO]]&amp;Tabla9[[#This Row],[PROGRAMA DESTINO]],Tabla49[ESPACIO ACADÉMICO DESTINO]&amp;Tabla49[PROGRAMA],Tabla49[CRÉDITOS],"")</f>
        <v>3</v>
      </c>
      <c r="J238" s="14">
        <v>4.5</v>
      </c>
      <c r="K238" s="10" t="s">
        <v>100</v>
      </c>
      <c r="X238" s="52" t="s">
        <v>107</v>
      </c>
      <c r="Y238" s="8">
        <v>73645</v>
      </c>
      <c r="Z238" s="8" t="s">
        <v>429</v>
      </c>
      <c r="AA238" s="8">
        <v>3</v>
      </c>
    </row>
    <row r="239" spans="3:27" ht="30" x14ac:dyDescent="0.25">
      <c r="C239" s="1" t="str">
        <f>_xlfn.XLOOKUP(Tabla9[[#This Row],[PROGRAMA ORIGEN]],PROGRAMAS_N[PROGRAMAS ORIGEN],PROGRAMAS_N[NIVEL],"")</f>
        <v>TÉCNICO</v>
      </c>
      <c r="D239" s="16" t="s">
        <v>174</v>
      </c>
      <c r="E239" s="14">
        <v>220501103</v>
      </c>
      <c r="F239" s="10" t="s">
        <v>449</v>
      </c>
      <c r="G239" s="10" cm="1">
        <f t="array" ref="G239">+_xlfn.XLOOKUP(Tabla9[[#This Row],[ESPACIO ACADÉMICO DESTINO]]&amp;Tabla9[[#This Row],[PROGRAMA DESTINO]],Tabla49[ESPACIO ACADÉMICO DESTINO]&amp;Tabla49[PROGRAMA],Tabla49[CÓDIGO],"")</f>
        <v>73426</v>
      </c>
      <c r="H239" s="10" t="s">
        <v>356</v>
      </c>
      <c r="I239" s="14" cm="1">
        <f t="array" ref="I239">+_xlfn.XLOOKUP(Tabla9[[#This Row],[ESPACIO ACADÉMICO DESTINO]]&amp;Tabla9[[#This Row],[PROGRAMA DESTINO]],Tabla49[ESPACIO ACADÉMICO DESTINO]&amp;Tabla49[PROGRAMA],Tabla49[CRÉDITOS],"")</f>
        <v>3</v>
      </c>
      <c r="J239" s="14">
        <v>4.5</v>
      </c>
      <c r="K239" s="10" t="s">
        <v>100</v>
      </c>
      <c r="X239" s="52" t="s">
        <v>107</v>
      </c>
      <c r="Y239" s="8">
        <v>73646</v>
      </c>
      <c r="Z239" s="8" t="s">
        <v>450</v>
      </c>
      <c r="AA239" s="8">
        <v>4</v>
      </c>
    </row>
    <row r="240" spans="3:27" ht="30" x14ac:dyDescent="0.25">
      <c r="C240" s="1" t="str">
        <f>_xlfn.XLOOKUP(Tabla9[[#This Row],[PROGRAMA ORIGEN]],PROGRAMAS_N[PROGRAMAS ORIGEN],PROGRAMAS_N[NIVEL],"")</f>
        <v>TÉCNICO</v>
      </c>
      <c r="D240" s="16" t="s">
        <v>176</v>
      </c>
      <c r="E240" s="14">
        <v>220501001</v>
      </c>
      <c r="F240" s="10" t="s">
        <v>451</v>
      </c>
      <c r="G240" s="10" cm="1">
        <f t="array" ref="G240">+_xlfn.XLOOKUP(Tabla9[[#This Row],[ESPACIO ACADÉMICO DESTINO]]&amp;Tabla9[[#This Row],[PROGRAMA DESTINO]],Tabla49[ESPACIO ACADÉMICO DESTINO]&amp;Tabla49[PROGRAMA],Tabla49[CÓDIGO],"")</f>
        <v>73421</v>
      </c>
      <c r="H240" s="10" t="s">
        <v>328</v>
      </c>
      <c r="I240" s="14" cm="1">
        <f t="array" ref="I240">+_xlfn.XLOOKUP(Tabla9[[#This Row],[ESPACIO ACADÉMICO DESTINO]]&amp;Tabla9[[#This Row],[PROGRAMA DESTINO]],Tabla49[ESPACIO ACADÉMICO DESTINO]&amp;Tabla49[PROGRAMA],Tabla49[CRÉDITOS],"")</f>
        <v>3</v>
      </c>
      <c r="J240" s="14">
        <v>4.5</v>
      </c>
      <c r="K240" s="10" t="s">
        <v>100</v>
      </c>
      <c r="X240" s="52" t="s">
        <v>107</v>
      </c>
      <c r="Y240" s="8">
        <v>73647</v>
      </c>
      <c r="Z240" s="8" t="s">
        <v>295</v>
      </c>
      <c r="AA240" s="8">
        <v>3</v>
      </c>
    </row>
    <row r="241" spans="3:27" ht="30" x14ac:dyDescent="0.25">
      <c r="C241" s="1" t="str">
        <f>_xlfn.XLOOKUP(Tabla9[[#This Row],[PROGRAMA ORIGEN]],PROGRAMAS_N[PROGRAMAS ORIGEN],PROGRAMAS_N[NIVEL],"")</f>
        <v>TÉCNICO</v>
      </c>
      <c r="D241" s="16" t="s">
        <v>176</v>
      </c>
      <c r="E241" s="14">
        <v>240201524</v>
      </c>
      <c r="F241" s="10" t="s">
        <v>452</v>
      </c>
      <c r="G241" s="10" cm="1">
        <f t="array" ref="G241">+_xlfn.XLOOKUP(Tabla9[[#This Row],[ESPACIO ACADÉMICO DESTINO]]&amp;Tabla9[[#This Row],[PROGRAMA DESTINO]],Tabla49[ESPACIO ACADÉMICO DESTINO]&amp;Tabla49[PROGRAMA],Tabla49[CÓDIGO],"")</f>
        <v>15135</v>
      </c>
      <c r="H241" s="10" t="s">
        <v>56</v>
      </c>
      <c r="I241" s="14" cm="1">
        <f t="array" ref="I241">+_xlfn.XLOOKUP(Tabla9[[#This Row],[ESPACIO ACADÉMICO DESTINO]]&amp;Tabla9[[#This Row],[PROGRAMA DESTINO]],Tabla49[ESPACIO ACADÉMICO DESTINO]&amp;Tabla49[PROGRAMA],Tabla49[CRÉDITOS],"")</f>
        <v>2</v>
      </c>
      <c r="J241" s="14">
        <v>4.5</v>
      </c>
      <c r="K241" s="10" t="s">
        <v>100</v>
      </c>
      <c r="X241" s="52" t="s">
        <v>107</v>
      </c>
      <c r="Y241" s="8">
        <v>95113</v>
      </c>
      <c r="Z241" s="8" t="s">
        <v>214</v>
      </c>
      <c r="AA241" s="8">
        <v>2</v>
      </c>
    </row>
    <row r="242" spans="3:27" ht="30" x14ac:dyDescent="0.25">
      <c r="C242" s="1" t="str">
        <f>_xlfn.XLOOKUP(Tabla9[[#This Row],[PROGRAMA ORIGEN]],PROGRAMAS_N[PROGRAMAS ORIGEN],PROGRAMAS_N[NIVEL],"")</f>
        <v>TÉCNICO</v>
      </c>
      <c r="D242" s="16" t="s">
        <v>176</v>
      </c>
      <c r="E242" s="14">
        <v>220501046</v>
      </c>
      <c r="F242" s="10" t="s">
        <v>435</v>
      </c>
      <c r="G242" s="10" cm="1">
        <f t="array" ref="G242">+_xlfn.XLOOKUP(Tabla9[[#This Row],[ESPACIO ACADÉMICO DESTINO]]&amp;Tabla9[[#This Row],[PROGRAMA DESTINO]],Tabla49[ESPACIO ACADÉMICO DESTINO]&amp;Tabla49[PROGRAMA],Tabla49[CÓDIGO],"")</f>
        <v>73418</v>
      </c>
      <c r="H242" s="10" t="s">
        <v>321</v>
      </c>
      <c r="I242" s="14" cm="1">
        <f t="array" ref="I242">+_xlfn.XLOOKUP(Tabla9[[#This Row],[ESPACIO ACADÉMICO DESTINO]]&amp;Tabla9[[#This Row],[PROGRAMA DESTINO]],Tabla49[ESPACIO ACADÉMICO DESTINO]&amp;Tabla49[PROGRAMA],Tabla49[CRÉDITOS],"")</f>
        <v>3</v>
      </c>
      <c r="J242" s="14">
        <v>4.5</v>
      </c>
      <c r="K242" s="10" t="s">
        <v>100</v>
      </c>
      <c r="X242" s="52" t="s">
        <v>116</v>
      </c>
      <c r="Y242" s="8">
        <v>16724</v>
      </c>
      <c r="Z242" s="8" t="s">
        <v>453</v>
      </c>
      <c r="AA242" s="8">
        <v>2</v>
      </c>
    </row>
    <row r="243" spans="3:27" ht="45" x14ac:dyDescent="0.25">
      <c r="C243" s="1" t="str">
        <f>_xlfn.XLOOKUP(Tabla9[[#This Row],[PROGRAMA ORIGEN]],PROGRAMAS_N[PROGRAMAS ORIGEN],PROGRAMAS_N[NIVEL],"")</f>
        <v>TÉCNICO</v>
      </c>
      <c r="D243" s="16" t="s">
        <v>176</v>
      </c>
      <c r="E243" s="14">
        <v>240201528</v>
      </c>
      <c r="F243" s="10" t="s">
        <v>448</v>
      </c>
      <c r="G243" s="10" cm="1">
        <f t="array" ref="G243">+_xlfn.XLOOKUP(Tabla9[[#This Row],[ESPACIO ACADÉMICO DESTINO]]&amp;Tabla9[[#This Row],[PROGRAMA DESTINO]],Tabla49[ESPACIO ACADÉMICO DESTINO]&amp;Tabla49[PROGRAMA],Tabla49[CÓDIGO],"")</f>
        <v>16869</v>
      </c>
      <c r="H243" s="10" t="s">
        <v>325</v>
      </c>
      <c r="I243" s="14" cm="1">
        <f t="array" ref="I243">+_xlfn.XLOOKUP(Tabla9[[#This Row],[ESPACIO ACADÉMICO DESTINO]]&amp;Tabla9[[#This Row],[PROGRAMA DESTINO]],Tabla49[ESPACIO ACADÉMICO DESTINO]&amp;Tabla49[PROGRAMA],Tabla49[CRÉDITOS],"")</f>
        <v>3</v>
      </c>
      <c r="J243" s="14">
        <v>4.5</v>
      </c>
      <c r="K243" s="10" t="s">
        <v>100</v>
      </c>
      <c r="X243" s="52" t="s">
        <v>116</v>
      </c>
      <c r="Y243" s="8">
        <v>16725</v>
      </c>
      <c r="Z243" s="8" t="s">
        <v>454</v>
      </c>
      <c r="AA243" s="8">
        <v>2</v>
      </c>
    </row>
    <row r="244" spans="3:27" ht="30" x14ac:dyDescent="0.25">
      <c r="C244" s="1" t="str">
        <f>_xlfn.XLOOKUP(Tabla9[[#This Row],[PROGRAMA ORIGEN]],PROGRAMAS_N[PROGRAMAS ORIGEN],PROGRAMAS_N[NIVEL],"")</f>
        <v>TÉCNICO</v>
      </c>
      <c r="D244" s="16" t="s">
        <v>180</v>
      </c>
      <c r="E244" s="14">
        <v>220501046</v>
      </c>
      <c r="F244" s="10" t="s">
        <v>451</v>
      </c>
      <c r="G244" s="10" cm="1">
        <f t="array" ref="G244">+_xlfn.XLOOKUP(Tabla9[[#This Row],[ESPACIO ACADÉMICO DESTINO]]&amp;Tabla9[[#This Row],[PROGRAMA DESTINO]],Tabla49[ESPACIO ACADÉMICO DESTINO]&amp;Tabla49[PROGRAMA],Tabla49[CÓDIGO],"")</f>
        <v>73421</v>
      </c>
      <c r="H244" s="10" t="s">
        <v>328</v>
      </c>
      <c r="I244" s="14" cm="1">
        <f t="array" ref="I244">+_xlfn.XLOOKUP(Tabla9[[#This Row],[ESPACIO ACADÉMICO DESTINO]]&amp;Tabla9[[#This Row],[PROGRAMA DESTINO]],Tabla49[ESPACIO ACADÉMICO DESTINO]&amp;Tabla49[PROGRAMA],Tabla49[CRÉDITOS],"")</f>
        <v>3</v>
      </c>
      <c r="J244" s="14">
        <v>4.5</v>
      </c>
      <c r="K244" s="10" t="s">
        <v>100</v>
      </c>
      <c r="X244" s="52" t="s">
        <v>116</v>
      </c>
      <c r="Y244" s="8">
        <v>16726</v>
      </c>
      <c r="Z244" s="8" t="s">
        <v>455</v>
      </c>
      <c r="AA244" s="8">
        <v>2</v>
      </c>
    </row>
    <row r="245" spans="3:27" ht="30" x14ac:dyDescent="0.25">
      <c r="C245" s="1" t="str">
        <f>_xlfn.XLOOKUP(Tabla9[[#This Row],[PROGRAMA ORIGEN]],PROGRAMAS_N[PROGRAMAS ORIGEN],PROGRAMAS_N[NIVEL],"")</f>
        <v>TÉCNICO</v>
      </c>
      <c r="D245" s="16" t="s">
        <v>180</v>
      </c>
      <c r="E245" s="14">
        <v>240201524</v>
      </c>
      <c r="F245" s="10" t="s">
        <v>452</v>
      </c>
      <c r="G245" s="10" cm="1">
        <f t="array" ref="G245">+_xlfn.XLOOKUP(Tabla9[[#This Row],[ESPACIO ACADÉMICO DESTINO]]&amp;Tabla9[[#This Row],[PROGRAMA DESTINO]],Tabla49[ESPACIO ACADÉMICO DESTINO]&amp;Tabla49[PROGRAMA],Tabla49[CÓDIGO],"")</f>
        <v>15135</v>
      </c>
      <c r="H245" s="10" t="s">
        <v>56</v>
      </c>
      <c r="I245" s="14" cm="1">
        <f t="array" ref="I245">+_xlfn.XLOOKUP(Tabla9[[#This Row],[ESPACIO ACADÉMICO DESTINO]]&amp;Tabla9[[#This Row],[PROGRAMA DESTINO]],Tabla49[ESPACIO ACADÉMICO DESTINO]&amp;Tabla49[PROGRAMA],Tabla49[CRÉDITOS],"")</f>
        <v>2</v>
      </c>
      <c r="J245" s="14">
        <v>4.5</v>
      </c>
      <c r="K245" s="10" t="s">
        <v>100</v>
      </c>
      <c r="X245" s="52" t="s">
        <v>116</v>
      </c>
      <c r="Y245" s="8">
        <v>73486</v>
      </c>
      <c r="Z245" s="8" t="s">
        <v>456</v>
      </c>
      <c r="AA245" s="8">
        <v>3</v>
      </c>
    </row>
    <row r="246" spans="3:27" ht="30" x14ac:dyDescent="0.25">
      <c r="C246" s="1" t="str">
        <f>_xlfn.XLOOKUP(Tabla9[[#This Row],[PROGRAMA ORIGEN]],PROGRAMAS_N[PROGRAMAS ORIGEN],PROGRAMAS_N[NIVEL],"")</f>
        <v>TÉCNICO</v>
      </c>
      <c r="D246" s="16" t="s">
        <v>180</v>
      </c>
      <c r="E246" s="14">
        <v>220501046</v>
      </c>
      <c r="F246" s="10" t="s">
        <v>435</v>
      </c>
      <c r="G246" s="10" cm="1">
        <f t="array" ref="G246">+_xlfn.XLOOKUP(Tabla9[[#This Row],[ESPACIO ACADÉMICO DESTINO]]&amp;Tabla9[[#This Row],[PROGRAMA DESTINO]],Tabla49[ESPACIO ACADÉMICO DESTINO]&amp;Tabla49[PROGRAMA],Tabla49[CÓDIGO],"")</f>
        <v>73418</v>
      </c>
      <c r="H246" s="10" t="s">
        <v>321</v>
      </c>
      <c r="I246" s="14" cm="1">
        <f t="array" ref="I246">+_xlfn.XLOOKUP(Tabla9[[#This Row],[ESPACIO ACADÉMICO DESTINO]]&amp;Tabla9[[#This Row],[PROGRAMA DESTINO]],Tabla49[ESPACIO ACADÉMICO DESTINO]&amp;Tabla49[PROGRAMA],Tabla49[CRÉDITOS],"")</f>
        <v>3</v>
      </c>
      <c r="J246" s="14">
        <v>4.5</v>
      </c>
      <c r="K246" s="10" t="s">
        <v>100</v>
      </c>
      <c r="X246" s="52" t="s">
        <v>116</v>
      </c>
      <c r="Y246" s="8">
        <v>73207</v>
      </c>
      <c r="Z246" s="8" t="s">
        <v>315</v>
      </c>
      <c r="AA246" s="8">
        <v>3</v>
      </c>
    </row>
    <row r="247" spans="3:27" ht="45" x14ac:dyDescent="0.25">
      <c r="C247" s="1" t="str">
        <f>_xlfn.XLOOKUP(Tabla9[[#This Row],[PROGRAMA ORIGEN]],PROGRAMAS_N[PROGRAMAS ORIGEN],PROGRAMAS_N[NIVEL],"")</f>
        <v>TÉCNICO</v>
      </c>
      <c r="D247" s="16" t="s">
        <v>180</v>
      </c>
      <c r="E247" s="14">
        <v>240201528</v>
      </c>
      <c r="F247" s="10" t="s">
        <v>448</v>
      </c>
      <c r="G247" s="10" cm="1">
        <f t="array" ref="G247">+_xlfn.XLOOKUP(Tabla9[[#This Row],[ESPACIO ACADÉMICO DESTINO]]&amp;Tabla9[[#This Row],[PROGRAMA DESTINO]],Tabla49[ESPACIO ACADÉMICO DESTINO]&amp;Tabla49[PROGRAMA],Tabla49[CÓDIGO],"")</f>
        <v>16869</v>
      </c>
      <c r="H247" s="10" t="s">
        <v>325</v>
      </c>
      <c r="I247" s="14" cm="1">
        <f t="array" ref="I247">+_xlfn.XLOOKUP(Tabla9[[#This Row],[ESPACIO ACADÉMICO DESTINO]]&amp;Tabla9[[#This Row],[PROGRAMA DESTINO]],Tabla49[ESPACIO ACADÉMICO DESTINO]&amp;Tabla49[PROGRAMA],Tabla49[CRÉDITOS],"")</f>
        <v>3</v>
      </c>
      <c r="J247" s="14">
        <v>4.5</v>
      </c>
      <c r="K247" s="10" t="s">
        <v>100</v>
      </c>
      <c r="X247" s="52" t="s">
        <v>116</v>
      </c>
      <c r="Y247" s="8">
        <v>73487</v>
      </c>
      <c r="Z247" s="8" t="s">
        <v>56</v>
      </c>
      <c r="AA247" s="8">
        <v>2</v>
      </c>
    </row>
    <row r="248" spans="3:27" ht="30" x14ac:dyDescent="0.25">
      <c r="C248" s="1" t="str">
        <f>_xlfn.XLOOKUP(Tabla9[[#This Row],[PROGRAMA ORIGEN]],PROGRAMAS_N[PROGRAMAS ORIGEN],PROGRAMAS_N[NIVEL],"")</f>
        <v>TÉCNICO</v>
      </c>
      <c r="D248" s="16" t="s">
        <v>180</v>
      </c>
      <c r="E248" s="14">
        <v>220501097</v>
      </c>
      <c r="F248" s="10" t="s">
        <v>457</v>
      </c>
      <c r="G248" s="10" cm="1">
        <f t="array" ref="G248">+_xlfn.XLOOKUP(Tabla9[[#This Row],[ESPACIO ACADÉMICO DESTINO]]&amp;Tabla9[[#This Row],[PROGRAMA DESTINO]],Tabla49[ESPACIO ACADÉMICO DESTINO]&amp;Tabla49[PROGRAMA],Tabla49[CÓDIGO],"")</f>
        <v>16879</v>
      </c>
      <c r="H248" s="10" t="s">
        <v>355</v>
      </c>
      <c r="I248" s="14" cm="1">
        <f t="array" ref="I248">+_xlfn.XLOOKUP(Tabla9[[#This Row],[ESPACIO ACADÉMICO DESTINO]]&amp;Tabla9[[#This Row],[PROGRAMA DESTINO]],Tabla49[ESPACIO ACADÉMICO DESTINO]&amp;Tabla49[PROGRAMA],Tabla49[CRÉDITOS],"")</f>
        <v>3</v>
      </c>
      <c r="J248" s="14">
        <v>4.5</v>
      </c>
      <c r="K248" s="10" t="s">
        <v>100</v>
      </c>
      <c r="X248" s="52" t="s">
        <v>116</v>
      </c>
      <c r="Y248" s="8">
        <v>16323</v>
      </c>
      <c r="Z248" s="8" t="s">
        <v>101</v>
      </c>
      <c r="AA248" s="8">
        <v>2</v>
      </c>
    </row>
    <row r="249" spans="3:27" ht="30" x14ac:dyDescent="0.25">
      <c r="C249" s="1" t="str">
        <f>_xlfn.XLOOKUP(Tabla9[[#This Row],[PROGRAMA ORIGEN]],PROGRAMAS_N[PROGRAMAS ORIGEN],PROGRAMAS_N[NIVEL],"")</f>
        <v>TÉCNICO</v>
      </c>
      <c r="D249" s="16" t="s">
        <v>180</v>
      </c>
      <c r="E249" s="14">
        <v>220501096</v>
      </c>
      <c r="F249" s="10" t="s">
        <v>458</v>
      </c>
      <c r="G249" s="10" cm="1">
        <f t="array" ref="G249">+_xlfn.XLOOKUP(Tabla9[[#This Row],[ESPACIO ACADÉMICO DESTINO]]&amp;Tabla9[[#This Row],[PROGRAMA DESTINO]],Tabla49[ESPACIO ACADÉMICO DESTINO]&amp;Tabla49[PROGRAMA],Tabla49[CÓDIGO],"")</f>
        <v>73431</v>
      </c>
      <c r="H249" s="10" t="s">
        <v>386</v>
      </c>
      <c r="I249" s="14" cm="1">
        <f t="array" ref="I249">+_xlfn.XLOOKUP(Tabla9[[#This Row],[ESPACIO ACADÉMICO DESTINO]]&amp;Tabla9[[#This Row],[PROGRAMA DESTINO]],Tabla49[ESPACIO ACADÉMICO DESTINO]&amp;Tabla49[PROGRAMA],Tabla49[CRÉDITOS],"")</f>
        <v>3</v>
      </c>
      <c r="J249" s="14">
        <v>4.5</v>
      </c>
      <c r="K249" s="10" t="s">
        <v>100</v>
      </c>
      <c r="X249" s="52" t="s">
        <v>116</v>
      </c>
      <c r="Y249" s="8">
        <v>73488</v>
      </c>
      <c r="Z249" s="8" t="s">
        <v>459</v>
      </c>
      <c r="AA249" s="8">
        <v>2</v>
      </c>
    </row>
    <row r="250" spans="3:27" ht="30" x14ac:dyDescent="0.25">
      <c r="C250" s="1" t="str">
        <f>_xlfn.XLOOKUP(Tabla9[[#This Row],[PROGRAMA ORIGEN]],PROGRAMAS_N[PROGRAMAS ORIGEN],PROGRAMAS_N[NIVEL],"")</f>
        <v/>
      </c>
      <c r="D250" s="16" t="s">
        <v>460</v>
      </c>
      <c r="E250" s="14">
        <v>240201524</v>
      </c>
      <c r="F250" s="10" t="s">
        <v>436</v>
      </c>
      <c r="G250" s="10" cm="1">
        <f t="array" ref="G250">+_xlfn.XLOOKUP(Tabla9[[#This Row],[ESPACIO ACADÉMICO DESTINO]]&amp;Tabla9[[#This Row],[PROGRAMA DESTINO]],Tabla49[ESPACIO ACADÉMICO DESTINO]&amp;Tabla49[PROGRAMA],Tabla49[CÓDIGO],"")</f>
        <v>15135</v>
      </c>
      <c r="H250" s="10" t="s">
        <v>56</v>
      </c>
      <c r="I250" s="14" cm="1">
        <f t="array" ref="I250">+_xlfn.XLOOKUP(Tabla9[[#This Row],[ESPACIO ACADÉMICO DESTINO]]&amp;Tabla9[[#This Row],[PROGRAMA DESTINO]],Tabla49[ESPACIO ACADÉMICO DESTINO]&amp;Tabla49[PROGRAMA],Tabla49[CRÉDITOS],"")</f>
        <v>2</v>
      </c>
      <c r="J250" s="14">
        <v>4.5</v>
      </c>
      <c r="K250" s="10" t="s">
        <v>100</v>
      </c>
      <c r="X250" s="52" t="s">
        <v>116</v>
      </c>
      <c r="Y250" s="8">
        <v>16729</v>
      </c>
      <c r="Z250" s="8" t="s">
        <v>461</v>
      </c>
      <c r="AA250" s="8">
        <v>2</v>
      </c>
    </row>
    <row r="251" spans="3:27" ht="30" x14ac:dyDescent="0.25">
      <c r="C251" s="1" t="str">
        <f>_xlfn.XLOOKUP(Tabla9[[#This Row],[PROGRAMA ORIGEN]],PROGRAMAS_N[PROGRAMAS ORIGEN],PROGRAMAS_N[NIVEL],"")</f>
        <v/>
      </c>
      <c r="D251" s="16" t="s">
        <v>460</v>
      </c>
      <c r="E251" s="14">
        <v>220501046</v>
      </c>
      <c r="F251" s="10" t="s">
        <v>435</v>
      </c>
      <c r="G251" s="10" cm="1">
        <f t="array" ref="G251">+_xlfn.XLOOKUP(Tabla9[[#This Row],[ESPACIO ACADÉMICO DESTINO]]&amp;Tabla9[[#This Row],[PROGRAMA DESTINO]],Tabla49[ESPACIO ACADÉMICO DESTINO]&amp;Tabla49[PROGRAMA],Tabla49[CÓDIGO],"")</f>
        <v>73418</v>
      </c>
      <c r="H251" s="10" t="s">
        <v>321</v>
      </c>
      <c r="I251" s="14" cm="1">
        <f t="array" ref="I251">+_xlfn.XLOOKUP(Tabla9[[#This Row],[ESPACIO ACADÉMICO DESTINO]]&amp;Tabla9[[#This Row],[PROGRAMA DESTINO]],Tabla49[ESPACIO ACADÉMICO DESTINO]&amp;Tabla49[PROGRAMA],Tabla49[CRÉDITOS],"")</f>
        <v>3</v>
      </c>
      <c r="J251" s="14">
        <v>4.5</v>
      </c>
      <c r="K251" s="10" t="s">
        <v>100</v>
      </c>
      <c r="X251" s="52" t="s">
        <v>116</v>
      </c>
      <c r="Y251" s="8">
        <v>16730</v>
      </c>
      <c r="Z251" s="8" t="s">
        <v>462</v>
      </c>
      <c r="AA251" s="8">
        <v>2</v>
      </c>
    </row>
    <row r="252" spans="3:27" ht="45" x14ac:dyDescent="0.25">
      <c r="C252" s="1" t="str">
        <f>_xlfn.XLOOKUP(Tabla9[[#This Row],[PROGRAMA ORIGEN]],PROGRAMAS_N[PROGRAMAS ORIGEN],PROGRAMAS_N[NIVEL],"")</f>
        <v/>
      </c>
      <c r="D252" s="16" t="s">
        <v>460</v>
      </c>
      <c r="E252" s="14">
        <v>240201528</v>
      </c>
      <c r="F252" s="10" t="s">
        <v>448</v>
      </c>
      <c r="G252" s="10" cm="1">
        <f t="array" ref="G252">+_xlfn.XLOOKUP(Tabla9[[#This Row],[ESPACIO ACADÉMICO DESTINO]]&amp;Tabla9[[#This Row],[PROGRAMA DESTINO]],Tabla49[ESPACIO ACADÉMICO DESTINO]&amp;Tabla49[PROGRAMA],Tabla49[CÓDIGO],"")</f>
        <v>16869</v>
      </c>
      <c r="H252" s="10" t="s">
        <v>325</v>
      </c>
      <c r="I252" s="14" cm="1">
        <f t="array" ref="I252">+_xlfn.XLOOKUP(Tabla9[[#This Row],[ESPACIO ACADÉMICO DESTINO]]&amp;Tabla9[[#This Row],[PROGRAMA DESTINO]],Tabla49[ESPACIO ACADÉMICO DESTINO]&amp;Tabla49[PROGRAMA],Tabla49[CRÉDITOS],"")</f>
        <v>3</v>
      </c>
      <c r="J252" s="14">
        <v>4.5</v>
      </c>
      <c r="K252" s="10" t="s">
        <v>100</v>
      </c>
      <c r="X252" s="52" t="s">
        <v>116</v>
      </c>
      <c r="Y252" s="8">
        <v>16728</v>
      </c>
      <c r="Z252" s="8" t="s">
        <v>463</v>
      </c>
      <c r="AA252" s="8">
        <v>3</v>
      </c>
    </row>
    <row r="253" spans="3:27" ht="30" x14ac:dyDescent="0.25">
      <c r="C253" s="1" t="str">
        <f>_xlfn.XLOOKUP(Tabla9[[#This Row],[PROGRAMA ORIGEN]],PROGRAMAS_N[PROGRAMAS ORIGEN],PROGRAMAS_N[NIVEL],"")</f>
        <v/>
      </c>
      <c r="D253" s="16" t="s">
        <v>460</v>
      </c>
      <c r="E253" s="14">
        <v>210601026</v>
      </c>
      <c r="F253" s="10" t="s">
        <v>464</v>
      </c>
      <c r="G253" s="10" cm="1">
        <f t="array" ref="G253">+_xlfn.XLOOKUP(Tabla9[[#This Row],[ESPACIO ACADÉMICO DESTINO]]&amp;Tabla9[[#This Row],[PROGRAMA DESTINO]],Tabla49[ESPACIO ACADÉMICO DESTINO]&amp;Tabla49[PROGRAMA],Tabla49[CÓDIGO],"")</f>
        <v>16806</v>
      </c>
      <c r="H253" s="10" t="s">
        <v>262</v>
      </c>
      <c r="I253" s="14" cm="1">
        <f t="array" ref="I253">+_xlfn.XLOOKUP(Tabla9[[#This Row],[ESPACIO ACADÉMICO DESTINO]]&amp;Tabla9[[#This Row],[PROGRAMA DESTINO]],Tabla49[ESPACIO ACADÉMICO DESTINO]&amp;Tabla49[PROGRAMA],Tabla49[CRÉDITOS],"")</f>
        <v>2</v>
      </c>
      <c r="J253" s="14">
        <v>4.5</v>
      </c>
      <c r="K253" s="10" t="s">
        <v>100</v>
      </c>
      <c r="X253" s="52" t="s">
        <v>116</v>
      </c>
      <c r="Y253" s="8">
        <v>73489</v>
      </c>
      <c r="Z253" s="8" t="s">
        <v>465</v>
      </c>
      <c r="AA253" s="8">
        <v>3</v>
      </c>
    </row>
    <row r="254" spans="3:27" ht="30" x14ac:dyDescent="0.25">
      <c r="C254" s="1" t="str">
        <f>_xlfn.XLOOKUP(Tabla9[[#This Row],[PROGRAMA ORIGEN]],PROGRAMAS_N[PROGRAMAS ORIGEN],PROGRAMAS_N[NIVEL],"")</f>
        <v>TÉCNICO</v>
      </c>
      <c r="D254" s="16" t="s">
        <v>186</v>
      </c>
      <c r="E254" s="14">
        <v>220501001</v>
      </c>
      <c r="F254" s="10" t="s">
        <v>451</v>
      </c>
      <c r="G254" s="10" cm="1">
        <f t="array" ref="G254">+_xlfn.XLOOKUP(Tabla9[[#This Row],[ESPACIO ACADÉMICO DESTINO]]&amp;Tabla9[[#This Row],[PROGRAMA DESTINO]],Tabla49[ESPACIO ACADÉMICO DESTINO]&amp;Tabla49[PROGRAMA],Tabla49[CÓDIGO],"")</f>
        <v>73421</v>
      </c>
      <c r="H254" s="10" t="s">
        <v>328</v>
      </c>
      <c r="I254" s="14" cm="1">
        <f t="array" ref="I254">+_xlfn.XLOOKUP(Tabla9[[#This Row],[ESPACIO ACADÉMICO DESTINO]]&amp;Tabla9[[#This Row],[PROGRAMA DESTINO]],Tabla49[ESPACIO ACADÉMICO DESTINO]&amp;Tabla49[PROGRAMA],Tabla49[CRÉDITOS],"")</f>
        <v>3</v>
      </c>
      <c r="J254" s="14">
        <v>4.5</v>
      </c>
      <c r="K254" s="10" t="s">
        <v>100</v>
      </c>
      <c r="X254" s="52" t="s">
        <v>116</v>
      </c>
      <c r="Y254" s="8">
        <v>16324</v>
      </c>
      <c r="Z254" s="8" t="s">
        <v>136</v>
      </c>
      <c r="AA254" s="8">
        <v>2</v>
      </c>
    </row>
    <row r="255" spans="3:27" ht="30" x14ac:dyDescent="0.25">
      <c r="C255" s="1" t="str">
        <f>_xlfn.XLOOKUP(Tabla9[[#This Row],[PROGRAMA ORIGEN]],PROGRAMAS_N[PROGRAMAS ORIGEN],PROGRAMAS_N[NIVEL],"")</f>
        <v>TÉCNICO</v>
      </c>
      <c r="D255" s="16" t="s">
        <v>186</v>
      </c>
      <c r="E255" s="14">
        <v>240201524</v>
      </c>
      <c r="F255" s="10" t="s">
        <v>436</v>
      </c>
      <c r="G255" s="10" cm="1">
        <f t="array" ref="G255">+_xlfn.XLOOKUP(Tabla9[[#This Row],[ESPACIO ACADÉMICO DESTINO]]&amp;Tabla9[[#This Row],[PROGRAMA DESTINO]],Tabla49[ESPACIO ACADÉMICO DESTINO]&amp;Tabla49[PROGRAMA],Tabla49[CÓDIGO],"")</f>
        <v>15135</v>
      </c>
      <c r="H255" s="10" t="s">
        <v>56</v>
      </c>
      <c r="I255" s="14" cm="1">
        <f t="array" ref="I255">+_xlfn.XLOOKUP(Tabla9[[#This Row],[ESPACIO ACADÉMICO DESTINO]]&amp;Tabla9[[#This Row],[PROGRAMA DESTINO]],Tabla49[ESPACIO ACADÉMICO DESTINO]&amp;Tabla49[PROGRAMA],Tabla49[CRÉDITOS],"")</f>
        <v>2</v>
      </c>
      <c r="J255" s="14">
        <v>4.5</v>
      </c>
      <c r="K255" s="10" t="s">
        <v>100</v>
      </c>
      <c r="X255" s="52" t="s">
        <v>116</v>
      </c>
      <c r="Y255" s="8">
        <v>16735</v>
      </c>
      <c r="Z255" s="8" t="s">
        <v>466</v>
      </c>
      <c r="AA255" s="8">
        <v>3</v>
      </c>
    </row>
    <row r="256" spans="3:27" ht="30" x14ac:dyDescent="0.25">
      <c r="C256" s="1" t="str">
        <f>_xlfn.XLOOKUP(Tabla9[[#This Row],[PROGRAMA ORIGEN]],PROGRAMAS_N[PROGRAMAS ORIGEN],PROGRAMAS_N[NIVEL],"")</f>
        <v>TÉCNICO</v>
      </c>
      <c r="D256" s="16" t="s">
        <v>186</v>
      </c>
      <c r="E256" s="14">
        <v>220501046</v>
      </c>
      <c r="F256" s="10" t="s">
        <v>435</v>
      </c>
      <c r="G256" s="10" cm="1">
        <f t="array" ref="G256">+_xlfn.XLOOKUP(Tabla9[[#This Row],[ESPACIO ACADÉMICO DESTINO]]&amp;Tabla9[[#This Row],[PROGRAMA DESTINO]],Tabla49[ESPACIO ACADÉMICO DESTINO]&amp;Tabla49[PROGRAMA],Tabla49[CÓDIGO],"")</f>
        <v>73418</v>
      </c>
      <c r="H256" s="10" t="s">
        <v>321</v>
      </c>
      <c r="I256" s="14" cm="1">
        <f t="array" ref="I256">+_xlfn.XLOOKUP(Tabla9[[#This Row],[ESPACIO ACADÉMICO DESTINO]]&amp;Tabla9[[#This Row],[PROGRAMA DESTINO]],Tabla49[ESPACIO ACADÉMICO DESTINO]&amp;Tabla49[PROGRAMA],Tabla49[CRÉDITOS],"")</f>
        <v>3</v>
      </c>
      <c r="J256" s="14">
        <v>4.5</v>
      </c>
      <c r="K256" s="10" t="s">
        <v>100</v>
      </c>
      <c r="X256" s="52" t="s">
        <v>116</v>
      </c>
      <c r="Y256" s="8">
        <v>16734</v>
      </c>
      <c r="Z256" s="8" t="s">
        <v>467</v>
      </c>
      <c r="AA256" s="8">
        <v>3</v>
      </c>
    </row>
    <row r="257" spans="3:27" ht="45" x14ac:dyDescent="0.25">
      <c r="C257" s="1" t="str">
        <f>_xlfn.XLOOKUP(Tabla9[[#This Row],[PROGRAMA ORIGEN]],PROGRAMAS_N[PROGRAMAS ORIGEN],PROGRAMAS_N[NIVEL],"")</f>
        <v>TÉCNICO</v>
      </c>
      <c r="D257" s="16" t="s">
        <v>186</v>
      </c>
      <c r="E257" s="14">
        <v>240201528</v>
      </c>
      <c r="F257" s="10" t="s">
        <v>448</v>
      </c>
      <c r="G257" s="10" cm="1">
        <f t="array" ref="G257">+_xlfn.XLOOKUP(Tabla9[[#This Row],[ESPACIO ACADÉMICO DESTINO]]&amp;Tabla9[[#This Row],[PROGRAMA DESTINO]],Tabla49[ESPACIO ACADÉMICO DESTINO]&amp;Tabla49[PROGRAMA],Tabla49[CÓDIGO],"")</f>
        <v>16869</v>
      </c>
      <c r="H257" s="10" t="s">
        <v>325</v>
      </c>
      <c r="I257" s="14" cm="1">
        <f t="array" ref="I257">+_xlfn.XLOOKUP(Tabla9[[#This Row],[ESPACIO ACADÉMICO DESTINO]]&amp;Tabla9[[#This Row],[PROGRAMA DESTINO]],Tabla49[ESPACIO ACADÉMICO DESTINO]&amp;Tabla49[PROGRAMA],Tabla49[CRÉDITOS],"")</f>
        <v>3</v>
      </c>
      <c r="J257" s="14">
        <v>4.5</v>
      </c>
      <c r="K257" s="10" t="s">
        <v>100</v>
      </c>
      <c r="X257" s="52" t="s">
        <v>116</v>
      </c>
      <c r="Y257" s="8">
        <v>16733</v>
      </c>
      <c r="Z257" s="8" t="s">
        <v>468</v>
      </c>
      <c r="AA257" s="8">
        <v>3</v>
      </c>
    </row>
    <row r="258" spans="3:27" ht="30" x14ac:dyDescent="0.25">
      <c r="C258" s="1" t="str">
        <f>_xlfn.XLOOKUP(Tabla9[[#This Row],[PROGRAMA ORIGEN]],PROGRAMAS_N[PROGRAMAS ORIGEN],PROGRAMAS_N[NIVEL],"")</f>
        <v>TÉCNICO</v>
      </c>
      <c r="D258" s="16" t="s">
        <v>186</v>
      </c>
      <c r="E258" s="14">
        <v>220501103</v>
      </c>
      <c r="F258" s="10" t="s">
        <v>449</v>
      </c>
      <c r="G258" s="10" cm="1">
        <f t="array" ref="G258">+_xlfn.XLOOKUP(Tabla9[[#This Row],[ESPACIO ACADÉMICO DESTINO]]&amp;Tabla9[[#This Row],[PROGRAMA DESTINO]],Tabla49[ESPACIO ACADÉMICO DESTINO]&amp;Tabla49[PROGRAMA],Tabla49[CÓDIGO],"")</f>
        <v>73426</v>
      </c>
      <c r="H258" s="10" t="s">
        <v>356</v>
      </c>
      <c r="I258" s="14" cm="1">
        <f t="array" ref="I258">+_xlfn.XLOOKUP(Tabla9[[#This Row],[ESPACIO ACADÉMICO DESTINO]]&amp;Tabla9[[#This Row],[PROGRAMA DESTINO]],Tabla49[ESPACIO ACADÉMICO DESTINO]&amp;Tabla49[PROGRAMA],Tabla49[CRÉDITOS],"")</f>
        <v>3</v>
      </c>
      <c r="J258" s="14">
        <v>4.5</v>
      </c>
      <c r="K258" s="10" t="s">
        <v>100</v>
      </c>
      <c r="X258" s="52" t="s">
        <v>116</v>
      </c>
      <c r="Y258" s="8">
        <v>73531</v>
      </c>
      <c r="Z258" s="8" t="s">
        <v>469</v>
      </c>
      <c r="AA258" s="8">
        <v>3</v>
      </c>
    </row>
    <row r="259" spans="3:27" ht="30" x14ac:dyDescent="0.25">
      <c r="C259" s="1" t="str">
        <f>_xlfn.XLOOKUP(Tabla9[[#This Row],[PROGRAMA ORIGEN]],PROGRAMAS_N[PROGRAMAS ORIGEN],PROGRAMAS_N[NIVEL],"")</f>
        <v>TÉCNICO</v>
      </c>
      <c r="D259" s="16" t="s">
        <v>189</v>
      </c>
      <c r="E259" s="14">
        <v>240201524</v>
      </c>
      <c r="F259" s="10" t="s">
        <v>452</v>
      </c>
      <c r="G259" s="10" cm="1">
        <f t="array" ref="G259">+_xlfn.XLOOKUP(Tabla9[[#This Row],[ESPACIO ACADÉMICO DESTINO]]&amp;Tabla9[[#This Row],[PROGRAMA DESTINO]],Tabla49[ESPACIO ACADÉMICO DESTINO]&amp;Tabla49[PROGRAMA],Tabla49[CÓDIGO],"")</f>
        <v>15135</v>
      </c>
      <c r="H259" s="10" t="s">
        <v>56</v>
      </c>
      <c r="I259" s="14" cm="1">
        <f t="array" ref="I259">+_xlfn.XLOOKUP(Tabla9[[#This Row],[ESPACIO ACADÉMICO DESTINO]]&amp;Tabla9[[#This Row],[PROGRAMA DESTINO]],Tabla49[ESPACIO ACADÉMICO DESTINO]&amp;Tabla49[PROGRAMA],Tabla49[CRÉDITOS],"")</f>
        <v>2</v>
      </c>
      <c r="J259" s="14">
        <v>4.5</v>
      </c>
      <c r="K259" s="10" t="s">
        <v>100</v>
      </c>
      <c r="X259" s="52" t="s">
        <v>116</v>
      </c>
      <c r="Y259" s="8">
        <v>16731</v>
      </c>
      <c r="Z259" s="8" t="s">
        <v>470</v>
      </c>
      <c r="AA259" s="8">
        <v>2</v>
      </c>
    </row>
    <row r="260" spans="3:27" ht="30" x14ac:dyDescent="0.25">
      <c r="C260" s="1" t="str">
        <f>_xlfn.XLOOKUP(Tabla9[[#This Row],[PROGRAMA ORIGEN]],PROGRAMAS_N[PROGRAMAS ORIGEN],PROGRAMAS_N[NIVEL],"")</f>
        <v>TÉCNICO</v>
      </c>
      <c r="D260" s="16" t="s">
        <v>189</v>
      </c>
      <c r="E260" s="14">
        <v>220501046</v>
      </c>
      <c r="F260" s="10" t="s">
        <v>435</v>
      </c>
      <c r="G260" s="10" cm="1">
        <f t="array" ref="G260">+_xlfn.XLOOKUP(Tabla9[[#This Row],[ESPACIO ACADÉMICO DESTINO]]&amp;Tabla9[[#This Row],[PROGRAMA DESTINO]],Tabla49[ESPACIO ACADÉMICO DESTINO]&amp;Tabla49[PROGRAMA],Tabla49[CÓDIGO],"")</f>
        <v>73418</v>
      </c>
      <c r="H260" s="10" t="s">
        <v>321</v>
      </c>
      <c r="I260" s="14" cm="1">
        <f t="array" ref="I260">+_xlfn.XLOOKUP(Tabla9[[#This Row],[ESPACIO ACADÉMICO DESTINO]]&amp;Tabla9[[#This Row],[PROGRAMA DESTINO]],Tabla49[ESPACIO ACADÉMICO DESTINO]&amp;Tabla49[PROGRAMA],Tabla49[CRÉDITOS],"")</f>
        <v>3</v>
      </c>
      <c r="J260" s="14">
        <v>4.5</v>
      </c>
      <c r="K260" s="10" t="s">
        <v>100</v>
      </c>
      <c r="X260" s="52" t="s">
        <v>116</v>
      </c>
      <c r="Y260" s="8">
        <v>16325</v>
      </c>
      <c r="Z260" s="8" t="s">
        <v>160</v>
      </c>
      <c r="AA260" s="8">
        <v>2</v>
      </c>
    </row>
    <row r="261" spans="3:27" ht="45" x14ac:dyDescent="0.25">
      <c r="C261" s="1" t="str">
        <f>_xlfn.XLOOKUP(Tabla9[[#This Row],[PROGRAMA ORIGEN]],PROGRAMAS_N[PROGRAMAS ORIGEN],PROGRAMAS_N[NIVEL],"")</f>
        <v>TÉCNICO</v>
      </c>
      <c r="D261" s="16" t="s">
        <v>189</v>
      </c>
      <c r="E261" s="14">
        <v>240201528</v>
      </c>
      <c r="F261" s="10" t="s">
        <v>448</v>
      </c>
      <c r="G261" s="10" cm="1">
        <f t="array" ref="G261">+_xlfn.XLOOKUP(Tabla9[[#This Row],[ESPACIO ACADÉMICO DESTINO]]&amp;Tabla9[[#This Row],[PROGRAMA DESTINO]],Tabla49[ESPACIO ACADÉMICO DESTINO]&amp;Tabla49[PROGRAMA],Tabla49[CÓDIGO],"")</f>
        <v>16869</v>
      </c>
      <c r="H261" s="10" t="s">
        <v>325</v>
      </c>
      <c r="I261" s="14" cm="1">
        <f t="array" ref="I261">+_xlfn.XLOOKUP(Tabla9[[#This Row],[ESPACIO ACADÉMICO DESTINO]]&amp;Tabla9[[#This Row],[PROGRAMA DESTINO]],Tabla49[ESPACIO ACADÉMICO DESTINO]&amp;Tabla49[PROGRAMA],Tabla49[CRÉDITOS],"")</f>
        <v>3</v>
      </c>
      <c r="J261" s="14">
        <v>4.5</v>
      </c>
      <c r="K261" s="10" t="s">
        <v>100</v>
      </c>
      <c r="X261" s="52" t="s">
        <v>116</v>
      </c>
      <c r="Y261" s="8">
        <v>16539</v>
      </c>
      <c r="Z261" s="8" t="s">
        <v>471</v>
      </c>
      <c r="AA261" s="8">
        <v>3</v>
      </c>
    </row>
    <row r="262" spans="3:27" ht="30" x14ac:dyDescent="0.25">
      <c r="C262" s="1" t="str">
        <f>_xlfn.XLOOKUP(Tabla9[[#This Row],[PROGRAMA ORIGEN]],PROGRAMAS_N[PROGRAMAS ORIGEN],PROGRAMAS_N[NIVEL],"")</f>
        <v>TÉCNICO</v>
      </c>
      <c r="D262" s="16" t="s">
        <v>189</v>
      </c>
      <c r="E262" s="14">
        <v>220501106</v>
      </c>
      <c r="F262" s="10" t="s">
        <v>437</v>
      </c>
      <c r="G262" s="10" cm="1">
        <f t="array" ref="G262">+_xlfn.XLOOKUP(Tabla9[[#This Row],[ESPACIO ACADÉMICO DESTINO]]&amp;Tabla9[[#This Row],[PROGRAMA DESTINO]],Tabla49[ESPACIO ACADÉMICO DESTINO]&amp;Tabla49[PROGRAMA],Tabla49[CÓDIGO],"")</f>
        <v>73421</v>
      </c>
      <c r="H262" s="10" t="s">
        <v>328</v>
      </c>
      <c r="I262" s="14" cm="1">
        <f t="array" ref="I262">+_xlfn.XLOOKUP(Tabla9[[#This Row],[ESPACIO ACADÉMICO DESTINO]]&amp;Tabla9[[#This Row],[PROGRAMA DESTINO]],Tabla49[ESPACIO ACADÉMICO DESTINO]&amp;Tabla49[PROGRAMA],Tabla49[CRÉDITOS],"")</f>
        <v>3</v>
      </c>
      <c r="J262" s="14">
        <v>4.5</v>
      </c>
      <c r="K262" s="10" t="s">
        <v>100</v>
      </c>
      <c r="X262" s="52" t="s">
        <v>116</v>
      </c>
      <c r="Y262" s="8">
        <v>16741</v>
      </c>
      <c r="Z262" s="8" t="s">
        <v>472</v>
      </c>
      <c r="AA262" s="8">
        <v>2</v>
      </c>
    </row>
    <row r="263" spans="3:27" ht="30" x14ac:dyDescent="0.25">
      <c r="C263" s="1" t="str">
        <f>_xlfn.XLOOKUP(Tabla9[[#This Row],[PROGRAMA ORIGEN]],PROGRAMAS_N[PROGRAMAS ORIGEN],PROGRAMAS_N[NIVEL],"")</f>
        <v>TÉCNICO</v>
      </c>
      <c r="D263" s="16" t="s">
        <v>189</v>
      </c>
      <c r="E263" s="14">
        <v>220501095</v>
      </c>
      <c r="F263" s="10" t="s">
        <v>473</v>
      </c>
      <c r="G263" s="10" cm="1">
        <f t="array" ref="G263">+_xlfn.XLOOKUP(Tabla9[[#This Row],[ESPACIO ACADÉMICO DESTINO]]&amp;Tabla9[[#This Row],[PROGRAMA DESTINO]],Tabla49[ESPACIO ACADÉMICO DESTINO]&amp;Tabla49[PROGRAMA],Tabla49[CÓDIGO],"")</f>
        <v>16879</v>
      </c>
      <c r="H263" s="10" t="s">
        <v>355</v>
      </c>
      <c r="I263" s="14" cm="1">
        <f t="array" ref="I263">+_xlfn.XLOOKUP(Tabla9[[#This Row],[ESPACIO ACADÉMICO DESTINO]]&amp;Tabla9[[#This Row],[PROGRAMA DESTINO]],Tabla49[ESPACIO ACADÉMICO DESTINO]&amp;Tabla49[PROGRAMA],Tabla49[CRÉDITOS],"")</f>
        <v>3</v>
      </c>
      <c r="J263" s="14">
        <v>4.5</v>
      </c>
      <c r="K263" s="10" t="s">
        <v>100</v>
      </c>
      <c r="X263" s="52" t="s">
        <v>116</v>
      </c>
      <c r="Y263" s="8">
        <v>79490</v>
      </c>
      <c r="Z263" s="8" t="s">
        <v>474</v>
      </c>
      <c r="AA263" s="8">
        <v>2</v>
      </c>
    </row>
    <row r="264" spans="3:27" ht="30" x14ac:dyDescent="0.25">
      <c r="C264" s="1" t="str">
        <f>_xlfn.XLOOKUP(Tabla9[[#This Row],[PROGRAMA ORIGEN]],PROGRAMAS_N[PROGRAMAS ORIGEN],PROGRAMAS_N[NIVEL],"")</f>
        <v>TÉCNICO</v>
      </c>
      <c r="D264" s="16" t="s">
        <v>189</v>
      </c>
      <c r="E264" s="14">
        <v>220501092</v>
      </c>
      <c r="F264" s="10" t="s">
        <v>475</v>
      </c>
      <c r="G264" s="10" cm="1">
        <f t="array" ref="G264">+_xlfn.XLOOKUP(Tabla9[[#This Row],[ESPACIO ACADÉMICO DESTINO]]&amp;Tabla9[[#This Row],[PROGRAMA DESTINO]],Tabla49[ESPACIO ACADÉMICO DESTINO]&amp;Tabla49[PROGRAMA],Tabla49[CÓDIGO],"")</f>
        <v>16883</v>
      </c>
      <c r="H264" s="10" t="s">
        <v>362</v>
      </c>
      <c r="I264" s="14" cm="1">
        <f t="array" ref="I264">+_xlfn.XLOOKUP(Tabla9[[#This Row],[ESPACIO ACADÉMICO DESTINO]]&amp;Tabla9[[#This Row],[PROGRAMA DESTINO]],Tabla49[ESPACIO ACADÉMICO DESTINO]&amp;Tabla49[PROGRAMA],Tabla49[CRÉDITOS],"")</f>
        <v>3</v>
      </c>
      <c r="J264" s="14">
        <v>4.5</v>
      </c>
      <c r="K264" s="10" t="s">
        <v>100</v>
      </c>
      <c r="X264" s="52" t="s">
        <v>116</v>
      </c>
      <c r="Y264" s="8">
        <v>16737</v>
      </c>
      <c r="Z264" s="8" t="s">
        <v>476</v>
      </c>
      <c r="AA264" s="8">
        <v>3</v>
      </c>
    </row>
    <row r="265" spans="3:27" ht="30" x14ac:dyDescent="0.25">
      <c r="C265" s="1" t="str">
        <f>_xlfn.XLOOKUP(Tabla9[[#This Row],[PROGRAMA ORIGEN]],PROGRAMAS_N[PROGRAMAS ORIGEN],PROGRAMAS_N[NIVEL],"")</f>
        <v>TÉCNICO</v>
      </c>
      <c r="D265" s="16" t="s">
        <v>189</v>
      </c>
      <c r="E265" s="14">
        <v>220501096</v>
      </c>
      <c r="F265" s="10" t="s">
        <v>458</v>
      </c>
      <c r="G265" s="10" cm="1">
        <f t="array" ref="G265">+_xlfn.XLOOKUP(Tabla9[[#This Row],[ESPACIO ACADÉMICO DESTINO]]&amp;Tabla9[[#This Row],[PROGRAMA DESTINO]],Tabla49[ESPACIO ACADÉMICO DESTINO]&amp;Tabla49[PROGRAMA],Tabla49[CÓDIGO],"")</f>
        <v>73431</v>
      </c>
      <c r="H265" s="10" t="s">
        <v>386</v>
      </c>
      <c r="I265" s="14" cm="1">
        <f t="array" ref="I265">+_xlfn.XLOOKUP(Tabla9[[#This Row],[ESPACIO ACADÉMICO DESTINO]]&amp;Tabla9[[#This Row],[PROGRAMA DESTINO]],Tabla49[ESPACIO ACADÉMICO DESTINO]&amp;Tabla49[PROGRAMA],Tabla49[CRÉDITOS],"")</f>
        <v>3</v>
      </c>
      <c r="J265" s="14">
        <v>4.5</v>
      </c>
      <c r="K265" s="10" t="s">
        <v>100</v>
      </c>
      <c r="X265" s="52" t="s">
        <v>116</v>
      </c>
      <c r="Y265" s="8">
        <v>73491</v>
      </c>
      <c r="Z265" s="8" t="s">
        <v>477</v>
      </c>
      <c r="AA265" s="8">
        <v>3</v>
      </c>
    </row>
    <row r="266" spans="3:27" ht="30" x14ac:dyDescent="0.25">
      <c r="C266" s="1" t="str">
        <f>_xlfn.XLOOKUP(Tabla9[[#This Row],[PROGRAMA ORIGEN]],PROGRAMAS_N[PROGRAMAS ORIGEN],PROGRAMAS_N[NIVEL],"")</f>
        <v>TÉCNICO</v>
      </c>
      <c r="D266" s="16" t="s">
        <v>191</v>
      </c>
      <c r="E266" s="14">
        <v>240201524</v>
      </c>
      <c r="F266" s="10" t="s">
        <v>452</v>
      </c>
      <c r="G266" s="10" cm="1">
        <f t="array" ref="G266">+_xlfn.XLOOKUP(Tabla9[[#This Row],[ESPACIO ACADÉMICO DESTINO]]&amp;Tabla9[[#This Row],[PROGRAMA DESTINO]],Tabla49[ESPACIO ACADÉMICO DESTINO]&amp;Tabla49[PROGRAMA],Tabla49[CÓDIGO],"")</f>
        <v>15135</v>
      </c>
      <c r="H266" s="10" t="s">
        <v>56</v>
      </c>
      <c r="I266" s="14" cm="1">
        <f t="array" ref="I266">+_xlfn.XLOOKUP(Tabla9[[#This Row],[ESPACIO ACADÉMICO DESTINO]]&amp;Tabla9[[#This Row],[PROGRAMA DESTINO]],Tabla49[ESPACIO ACADÉMICO DESTINO]&amp;Tabla49[PROGRAMA],Tabla49[CRÉDITOS],"")</f>
        <v>2</v>
      </c>
      <c r="J266" s="14">
        <v>4.5</v>
      </c>
      <c r="K266" s="10" t="s">
        <v>100</v>
      </c>
      <c r="X266" s="52" t="s">
        <v>116</v>
      </c>
      <c r="Y266" s="8">
        <v>16738</v>
      </c>
      <c r="Z266" s="8" t="s">
        <v>478</v>
      </c>
      <c r="AA266" s="8">
        <v>2</v>
      </c>
    </row>
    <row r="267" spans="3:27" ht="30" x14ac:dyDescent="0.25">
      <c r="C267" s="1" t="str">
        <f>_xlfn.XLOOKUP(Tabla9[[#This Row],[PROGRAMA ORIGEN]],PROGRAMAS_N[PROGRAMAS ORIGEN],PROGRAMAS_N[NIVEL],"")</f>
        <v>TÉCNICO</v>
      </c>
      <c r="D267" s="16" t="s">
        <v>191</v>
      </c>
      <c r="E267" s="14">
        <v>220501046</v>
      </c>
      <c r="F267" s="10" t="s">
        <v>435</v>
      </c>
      <c r="G267" s="10" cm="1">
        <f t="array" ref="G267">+_xlfn.XLOOKUP(Tabla9[[#This Row],[ESPACIO ACADÉMICO DESTINO]]&amp;Tabla9[[#This Row],[PROGRAMA DESTINO]],Tabla49[ESPACIO ACADÉMICO DESTINO]&amp;Tabla49[PROGRAMA],Tabla49[CÓDIGO],"")</f>
        <v>73418</v>
      </c>
      <c r="H267" s="10" t="s">
        <v>321</v>
      </c>
      <c r="I267" s="14" cm="1">
        <f t="array" ref="I267">+_xlfn.XLOOKUP(Tabla9[[#This Row],[ESPACIO ACADÉMICO DESTINO]]&amp;Tabla9[[#This Row],[PROGRAMA DESTINO]],Tabla49[ESPACIO ACADÉMICO DESTINO]&amp;Tabla49[PROGRAMA],Tabla49[CRÉDITOS],"")</f>
        <v>3</v>
      </c>
      <c r="J267" s="14">
        <v>4.5</v>
      </c>
      <c r="K267" s="10" t="s">
        <v>100</v>
      </c>
      <c r="X267" s="52" t="s">
        <v>116</v>
      </c>
      <c r="Y267" s="8">
        <v>16327</v>
      </c>
      <c r="Z267" s="8" t="s">
        <v>184</v>
      </c>
      <c r="AA267" s="8">
        <v>2</v>
      </c>
    </row>
    <row r="268" spans="3:27" ht="45" x14ac:dyDescent="0.25">
      <c r="C268" s="1" t="str">
        <f>_xlfn.XLOOKUP(Tabla9[[#This Row],[PROGRAMA ORIGEN]],PROGRAMAS_N[PROGRAMAS ORIGEN],PROGRAMAS_N[NIVEL],"")</f>
        <v>TÉCNICO</v>
      </c>
      <c r="D268" s="16" t="s">
        <v>191</v>
      </c>
      <c r="E268" s="14">
        <v>240201528</v>
      </c>
      <c r="F268" s="10" t="s">
        <v>448</v>
      </c>
      <c r="G268" s="10" cm="1">
        <f t="array" ref="G268">+_xlfn.XLOOKUP(Tabla9[[#This Row],[ESPACIO ACADÉMICO DESTINO]]&amp;Tabla9[[#This Row],[PROGRAMA DESTINO]],Tabla49[ESPACIO ACADÉMICO DESTINO]&amp;Tabla49[PROGRAMA],Tabla49[CÓDIGO],"")</f>
        <v>16869</v>
      </c>
      <c r="H268" s="10" t="s">
        <v>325</v>
      </c>
      <c r="I268" s="14" cm="1">
        <f t="array" ref="I268">+_xlfn.XLOOKUP(Tabla9[[#This Row],[ESPACIO ACADÉMICO DESTINO]]&amp;Tabla9[[#This Row],[PROGRAMA DESTINO]],Tabla49[ESPACIO ACADÉMICO DESTINO]&amp;Tabla49[PROGRAMA],Tabla49[CRÉDITOS],"")</f>
        <v>3</v>
      </c>
      <c r="J268" s="14">
        <v>4.5</v>
      </c>
      <c r="K268" s="10" t="s">
        <v>100</v>
      </c>
      <c r="X268" s="52" t="s">
        <v>116</v>
      </c>
      <c r="Y268" s="8">
        <v>16540</v>
      </c>
      <c r="Z268" s="8" t="s">
        <v>479</v>
      </c>
      <c r="AA268" s="8">
        <v>3</v>
      </c>
    </row>
    <row r="269" spans="3:27" ht="30" x14ac:dyDescent="0.25">
      <c r="C269" s="1" t="str">
        <f>_xlfn.XLOOKUP(Tabla9[[#This Row],[PROGRAMA ORIGEN]],PROGRAMAS_N[PROGRAMAS ORIGEN],PROGRAMAS_N[NIVEL],"")</f>
        <v>TÉCNICO</v>
      </c>
      <c r="D269" s="16" t="s">
        <v>191</v>
      </c>
      <c r="E269" s="14">
        <v>220501095</v>
      </c>
      <c r="F269" s="10" t="s">
        <v>480</v>
      </c>
      <c r="G269" s="10" cm="1">
        <f t="array" ref="G269">+_xlfn.XLOOKUP(Tabla9[[#This Row],[ESPACIO ACADÉMICO DESTINO]]&amp;Tabla9[[#This Row],[PROGRAMA DESTINO]],Tabla49[ESPACIO ACADÉMICO DESTINO]&amp;Tabla49[PROGRAMA],Tabla49[CÓDIGO],"")</f>
        <v>16879</v>
      </c>
      <c r="H269" s="10" t="s">
        <v>355</v>
      </c>
      <c r="I269" s="14" cm="1">
        <f t="array" ref="I269">+_xlfn.XLOOKUP(Tabla9[[#This Row],[ESPACIO ACADÉMICO DESTINO]]&amp;Tabla9[[#This Row],[PROGRAMA DESTINO]],Tabla49[ESPACIO ACADÉMICO DESTINO]&amp;Tabla49[PROGRAMA],Tabla49[CRÉDITOS],"")</f>
        <v>3</v>
      </c>
      <c r="J269" s="14">
        <v>4.5</v>
      </c>
      <c r="K269" s="10" t="s">
        <v>100</v>
      </c>
      <c r="X269" s="52" t="s">
        <v>116</v>
      </c>
      <c r="Y269" s="8">
        <v>73492</v>
      </c>
      <c r="Z269" s="8" t="s">
        <v>481</v>
      </c>
      <c r="AA269" s="8">
        <v>2</v>
      </c>
    </row>
    <row r="270" spans="3:27" ht="30" x14ac:dyDescent="0.25">
      <c r="C270" s="1" t="str">
        <f>_xlfn.XLOOKUP(Tabla9[[#This Row],[PROGRAMA ORIGEN]],PROGRAMAS_N[PROGRAMAS ORIGEN],PROGRAMAS_N[NIVEL],"")</f>
        <v>TÉCNICO</v>
      </c>
      <c r="D270" s="16" t="s">
        <v>191</v>
      </c>
      <c r="E270" s="14">
        <v>220501092</v>
      </c>
      <c r="F270" s="10" t="s">
        <v>475</v>
      </c>
      <c r="G270" s="10" cm="1">
        <f t="array" ref="G270">+_xlfn.XLOOKUP(Tabla9[[#This Row],[ESPACIO ACADÉMICO DESTINO]]&amp;Tabla9[[#This Row],[PROGRAMA DESTINO]],Tabla49[ESPACIO ACADÉMICO DESTINO]&amp;Tabla49[PROGRAMA],Tabla49[CÓDIGO],"")</f>
        <v>16883</v>
      </c>
      <c r="H270" s="10" t="s">
        <v>362</v>
      </c>
      <c r="I270" s="14" cm="1">
        <f t="array" ref="I270">+_xlfn.XLOOKUP(Tabla9[[#This Row],[ESPACIO ACADÉMICO DESTINO]]&amp;Tabla9[[#This Row],[PROGRAMA DESTINO]],Tabla49[ESPACIO ACADÉMICO DESTINO]&amp;Tabla49[PROGRAMA],Tabla49[CRÉDITOS],"")</f>
        <v>3</v>
      </c>
      <c r="J270" s="14">
        <v>4.5</v>
      </c>
      <c r="K270" s="10" t="s">
        <v>100</v>
      </c>
      <c r="X270" s="52" t="s">
        <v>116</v>
      </c>
      <c r="Y270" s="8">
        <v>73493</v>
      </c>
      <c r="Z270" s="8" t="s">
        <v>482</v>
      </c>
      <c r="AA270" s="8">
        <v>2</v>
      </c>
    </row>
    <row r="271" spans="3:27" ht="30" x14ac:dyDescent="0.25">
      <c r="C271" s="1" t="str">
        <f>_xlfn.XLOOKUP(Tabla9[[#This Row],[PROGRAMA ORIGEN]],PROGRAMAS_N[PROGRAMAS ORIGEN],PROGRAMAS_N[NIVEL],"")</f>
        <v>TÉCNICO</v>
      </c>
      <c r="D271" s="16" t="s">
        <v>191</v>
      </c>
      <c r="E271" s="14">
        <v>220501096</v>
      </c>
      <c r="F271" s="10" t="s">
        <v>458</v>
      </c>
      <c r="G271" s="10" cm="1">
        <f t="array" ref="G271">+_xlfn.XLOOKUP(Tabla9[[#This Row],[ESPACIO ACADÉMICO DESTINO]]&amp;Tabla9[[#This Row],[PROGRAMA DESTINO]],Tabla49[ESPACIO ACADÉMICO DESTINO]&amp;Tabla49[PROGRAMA],Tabla49[CÓDIGO],"")</f>
        <v>73431</v>
      </c>
      <c r="H271" s="10" t="s">
        <v>386</v>
      </c>
      <c r="I271" s="14" cm="1">
        <f t="array" ref="I271">+_xlfn.XLOOKUP(Tabla9[[#This Row],[ESPACIO ACADÉMICO DESTINO]]&amp;Tabla9[[#This Row],[PROGRAMA DESTINO]],Tabla49[ESPACIO ACADÉMICO DESTINO]&amp;Tabla49[PROGRAMA],Tabla49[CRÉDITOS],"")</f>
        <v>3</v>
      </c>
      <c r="J271" s="14">
        <v>4.5</v>
      </c>
      <c r="K271" s="10" t="s">
        <v>100</v>
      </c>
      <c r="X271" s="52" t="s">
        <v>116</v>
      </c>
      <c r="Y271" s="8">
        <v>16740</v>
      </c>
      <c r="Z271" s="8" t="s">
        <v>483</v>
      </c>
      <c r="AA271" s="8">
        <v>2</v>
      </c>
    </row>
    <row r="272" spans="3:27" x14ac:dyDescent="0.25">
      <c r="C272" s="1" t="str">
        <f>_xlfn.XLOOKUP(Tabla9[[#This Row],[PROGRAMA ORIGEN]],PROGRAMAS_N[PROGRAMAS ORIGEN],PROGRAMAS_N[NIVEL],"")</f>
        <v>TECNÓLOGO</v>
      </c>
      <c r="D272" s="16" t="s">
        <v>155</v>
      </c>
      <c r="E272" s="14">
        <v>280301013</v>
      </c>
      <c r="F272" s="10" t="s">
        <v>484</v>
      </c>
      <c r="G272" s="10" cm="1">
        <f t="array" ref="G272">+_xlfn.XLOOKUP(Tabla9[[#This Row],[ESPACIO ACADÉMICO DESTINO]]&amp;Tabla9[[#This Row],[PROGRAMA DESTINO]],Tabla49[ESPACIO ACADÉMICO DESTINO]&amp;Tabla49[PROGRAMA],Tabla49[CÓDIGO],"")</f>
        <v>10144</v>
      </c>
      <c r="H272" s="10" t="s">
        <v>485</v>
      </c>
      <c r="I272" s="14" cm="1">
        <f t="array" ref="I272">+_xlfn.XLOOKUP(Tabla9[[#This Row],[ESPACIO ACADÉMICO DESTINO]]&amp;Tabla9[[#This Row],[PROGRAMA DESTINO]],Tabla49[ESPACIO ACADÉMICO DESTINO]&amp;Tabla49[PROGRAMA],Tabla49[CRÉDITOS],"")</f>
        <v>3</v>
      </c>
      <c r="J272" s="14">
        <v>4.5</v>
      </c>
      <c r="K272" s="10" t="s">
        <v>93</v>
      </c>
      <c r="X272" s="52" t="s">
        <v>116</v>
      </c>
      <c r="Y272" s="8">
        <v>73494</v>
      </c>
      <c r="Z272" s="8" t="s">
        <v>486</v>
      </c>
      <c r="AA272" s="8">
        <v>3</v>
      </c>
    </row>
    <row r="273" spans="3:27" ht="30" x14ac:dyDescent="0.25">
      <c r="C273" s="1" t="str">
        <f>_xlfn.XLOOKUP(Tabla9[[#This Row],[PROGRAMA ORIGEN]],PROGRAMAS_N[PROGRAMAS ORIGEN],PROGRAMAS_N[NIVEL],"")</f>
        <v>TECNÓLOGO</v>
      </c>
      <c r="D273" s="16" t="s">
        <v>155</v>
      </c>
      <c r="E273" s="14">
        <v>280301013</v>
      </c>
      <c r="F273" s="10" t="s">
        <v>484</v>
      </c>
      <c r="G273" s="10" cm="1">
        <f t="array" ref="G273">+_xlfn.XLOOKUP(Tabla9[[#This Row],[ESPACIO ACADÉMICO DESTINO]]&amp;Tabla9[[#This Row],[PROGRAMA DESTINO]],Tabla49[ESPACIO ACADÉMICO DESTINO]&amp;Tabla49[PROGRAMA],Tabla49[CÓDIGO],"")</f>
        <v>10135</v>
      </c>
      <c r="H273" s="10" t="s">
        <v>487</v>
      </c>
      <c r="I273" s="14" cm="1">
        <f t="array" ref="I273">+_xlfn.XLOOKUP(Tabla9[[#This Row],[ESPACIO ACADÉMICO DESTINO]]&amp;Tabla9[[#This Row],[PROGRAMA DESTINO]],Tabla49[ESPACIO ACADÉMICO DESTINO]&amp;Tabla49[PROGRAMA],Tabla49[CRÉDITOS],"")</f>
        <v>3</v>
      </c>
      <c r="J273" s="14">
        <v>4.5</v>
      </c>
      <c r="K273" s="10" t="s">
        <v>93</v>
      </c>
      <c r="X273" s="52" t="s">
        <v>116</v>
      </c>
      <c r="Y273" s="8">
        <v>73495</v>
      </c>
      <c r="Z273" s="8" t="s">
        <v>488</v>
      </c>
      <c r="AA273" s="8">
        <v>3</v>
      </c>
    </row>
    <row r="274" spans="3:27" x14ac:dyDescent="0.25">
      <c r="C274" s="1" t="str">
        <f>_xlfn.XLOOKUP(Tabla9[[#This Row],[PROGRAMA ORIGEN]],PROGRAMAS_N[PROGRAMAS ORIGEN],PROGRAMAS_N[NIVEL],"")</f>
        <v>TECNÓLOGO</v>
      </c>
      <c r="D274" s="16" t="s">
        <v>155</v>
      </c>
      <c r="E274" s="14">
        <v>280301058</v>
      </c>
      <c r="F274" s="10" t="s">
        <v>392</v>
      </c>
      <c r="G274" s="10" cm="1">
        <f t="array" ref="G274">+_xlfn.XLOOKUP(Tabla9[[#This Row],[ESPACIO ACADÉMICO DESTINO]]&amp;Tabla9[[#This Row],[PROGRAMA DESTINO]],Tabla49[ESPACIO ACADÉMICO DESTINO]&amp;Tabla49[PROGRAMA],Tabla49[CÓDIGO],"")</f>
        <v>10107</v>
      </c>
      <c r="H274" s="10" t="s">
        <v>489</v>
      </c>
      <c r="I274" s="14" cm="1">
        <f t="array" ref="I274">+_xlfn.XLOOKUP(Tabla9[[#This Row],[ESPACIO ACADÉMICO DESTINO]]&amp;Tabla9[[#This Row],[PROGRAMA DESTINO]],Tabla49[ESPACIO ACADÉMICO DESTINO]&amp;Tabla49[PROGRAMA],Tabla49[CRÉDITOS],"")</f>
        <v>4</v>
      </c>
      <c r="J274" s="14">
        <v>4.5</v>
      </c>
      <c r="K274" s="10" t="s">
        <v>93</v>
      </c>
      <c r="X274" s="52" t="s">
        <v>116</v>
      </c>
      <c r="Y274" s="8">
        <v>16719</v>
      </c>
      <c r="Z274" s="8" t="s">
        <v>391</v>
      </c>
      <c r="AA274" s="8">
        <v>2</v>
      </c>
    </row>
    <row r="275" spans="3:27" ht="45" x14ac:dyDescent="0.25">
      <c r="C275" s="1" t="str">
        <f>_xlfn.XLOOKUP(Tabla9[[#This Row],[PROGRAMA ORIGEN]],PROGRAMAS_N[PROGRAMAS ORIGEN],PROGRAMAS_N[NIVEL],"")</f>
        <v>TECNÓLOGO</v>
      </c>
      <c r="D275" s="16" t="s">
        <v>155</v>
      </c>
      <c r="E275" s="14">
        <v>280301026</v>
      </c>
      <c r="F275" s="10" t="s">
        <v>490</v>
      </c>
      <c r="G275" s="10" cm="1">
        <f t="array" ref="G275">+_xlfn.XLOOKUP(Tabla9[[#This Row],[ESPACIO ACADÉMICO DESTINO]]&amp;Tabla9[[#This Row],[PROGRAMA DESTINO]],Tabla49[ESPACIO ACADÉMICO DESTINO]&amp;Tabla49[PROGRAMA],Tabla49[CÓDIGO],"")</f>
        <v>10148</v>
      </c>
      <c r="H275" s="10" t="s">
        <v>491</v>
      </c>
      <c r="I275" s="14" cm="1">
        <f t="array" ref="I275">+_xlfn.XLOOKUP(Tabla9[[#This Row],[ESPACIO ACADÉMICO DESTINO]]&amp;Tabla9[[#This Row],[PROGRAMA DESTINO]],Tabla49[ESPACIO ACADÉMICO DESTINO]&amp;Tabla49[PROGRAMA],Tabla49[CRÉDITOS],"")</f>
        <v>3</v>
      </c>
      <c r="J275" s="14">
        <v>4.5</v>
      </c>
      <c r="K275" s="10" t="s">
        <v>93</v>
      </c>
      <c r="X275" s="52" t="s">
        <v>116</v>
      </c>
      <c r="Y275" s="8">
        <v>16720</v>
      </c>
      <c r="Z275" s="8" t="s">
        <v>408</v>
      </c>
      <c r="AA275" s="8">
        <v>2</v>
      </c>
    </row>
    <row r="276" spans="3:27" ht="30" x14ac:dyDescent="0.25">
      <c r="C276" s="1" t="str">
        <f>_xlfn.XLOOKUP(Tabla9[[#This Row],[PROGRAMA ORIGEN]],PROGRAMAS_N[PROGRAMAS ORIGEN],PROGRAMAS_N[NIVEL],"")</f>
        <v>TECNÓLOGO</v>
      </c>
      <c r="D276" s="16" t="s">
        <v>155</v>
      </c>
      <c r="E276" s="14">
        <v>280301125</v>
      </c>
      <c r="F276" s="10" t="s">
        <v>492</v>
      </c>
      <c r="G276" s="10" cm="1">
        <f t="array" ref="G276">+_xlfn.XLOOKUP(Tabla9[[#This Row],[ESPACIO ACADÉMICO DESTINO]]&amp;Tabla9[[#This Row],[PROGRAMA DESTINO]],Tabla49[ESPACIO ACADÉMICO DESTINO]&amp;Tabla49[PROGRAMA],Tabla49[CÓDIGO],"")</f>
        <v>10103</v>
      </c>
      <c r="H276" s="10" t="s">
        <v>321</v>
      </c>
      <c r="I276" s="14" cm="1">
        <f t="array" ref="I276">+_xlfn.XLOOKUP(Tabla9[[#This Row],[ESPACIO ACADÉMICO DESTINO]]&amp;Tabla9[[#This Row],[PROGRAMA DESTINO]],Tabla49[ESPACIO ACADÉMICO DESTINO]&amp;Tabla49[PROGRAMA],Tabla49[CRÉDITOS],"")</f>
        <v>3</v>
      </c>
      <c r="J276" s="14">
        <v>4.5</v>
      </c>
      <c r="K276" s="10" t="s">
        <v>93</v>
      </c>
      <c r="X276" s="52" t="s">
        <v>116</v>
      </c>
      <c r="Y276" s="8">
        <v>16588</v>
      </c>
      <c r="Z276" s="8" t="s">
        <v>493</v>
      </c>
      <c r="AA276" s="8">
        <v>2</v>
      </c>
    </row>
    <row r="277" spans="3:27" x14ac:dyDescent="0.25">
      <c r="C277" s="1" t="str">
        <f>_xlfn.XLOOKUP(Tabla9[[#This Row],[PROGRAMA ORIGEN]],PROGRAMAS_N[PROGRAMAS ORIGEN],PROGRAMAS_N[NIVEL],"")</f>
        <v>TECNÓLOGO</v>
      </c>
      <c r="D277" s="16" t="s">
        <v>155</v>
      </c>
      <c r="E277" s="14">
        <v>280301058</v>
      </c>
      <c r="F277" s="10" t="s">
        <v>392</v>
      </c>
      <c r="G277" s="10" t="str" cm="1">
        <f t="array" ref="G277">+_xlfn.XLOOKUP(Tabla9[[#This Row],[ESPACIO ACADÉMICO DESTINO]]&amp;Tabla9[[#This Row],[PROGRAMA DESTINO]],Tabla49[ESPACIO ACADÉMICO DESTINO]&amp;Tabla49[PROGRAMA],Tabla49[CÓDIGO],"")</f>
        <v/>
      </c>
      <c r="H277" s="10"/>
      <c r="I277" s="14" t="str" cm="1">
        <f t="array" ref="I277">+_xlfn.XLOOKUP(Tabla9[[#This Row],[ESPACIO ACADÉMICO DESTINO]]&amp;Tabla9[[#This Row],[PROGRAMA DESTINO]],Tabla49[ESPACIO ACADÉMICO DESTINO]&amp;Tabla49[PROGRAMA],Tabla49[CRÉDITOS],"")</f>
        <v/>
      </c>
      <c r="J277" s="14"/>
      <c r="K277" s="10" t="s">
        <v>93</v>
      </c>
      <c r="X277" s="52" t="s">
        <v>116</v>
      </c>
      <c r="Y277" s="8">
        <v>16742</v>
      </c>
      <c r="Z277" s="8" t="s">
        <v>494</v>
      </c>
      <c r="AA277" s="8">
        <v>3</v>
      </c>
    </row>
    <row r="278" spans="3:27" ht="45" x14ac:dyDescent="0.25">
      <c r="C278" s="1" t="str">
        <f>_xlfn.XLOOKUP(Tabla9[[#This Row],[PROGRAMA ORIGEN]],PROGRAMAS_N[PROGRAMAS ORIGEN],PROGRAMAS_N[NIVEL],"")</f>
        <v>TECNÓLOGO</v>
      </c>
      <c r="D278" s="16" t="s">
        <v>155</v>
      </c>
      <c r="E278" s="14">
        <v>280301026</v>
      </c>
      <c r="F278" s="10" t="s">
        <v>490</v>
      </c>
      <c r="G278" s="10" t="str" cm="1">
        <f t="array" ref="G278">+_xlfn.XLOOKUP(Tabla9[[#This Row],[ESPACIO ACADÉMICO DESTINO]]&amp;Tabla9[[#This Row],[PROGRAMA DESTINO]],Tabla49[ESPACIO ACADÉMICO DESTINO]&amp;Tabla49[PROGRAMA],Tabla49[CÓDIGO],"")</f>
        <v/>
      </c>
      <c r="H278" s="10"/>
      <c r="I278" s="14" t="str" cm="1">
        <f t="array" ref="I278">+_xlfn.XLOOKUP(Tabla9[[#This Row],[ESPACIO ACADÉMICO DESTINO]]&amp;Tabla9[[#This Row],[PROGRAMA DESTINO]],Tabla49[ESPACIO ACADÉMICO DESTINO]&amp;Tabla49[PROGRAMA],Tabla49[CRÉDITOS],"")</f>
        <v/>
      </c>
      <c r="J278" s="14"/>
      <c r="K278" s="10" t="s">
        <v>93</v>
      </c>
      <c r="X278" s="52" t="s">
        <v>116</v>
      </c>
      <c r="Y278" s="8">
        <v>73496</v>
      </c>
      <c r="Z278" s="8" t="s">
        <v>495</v>
      </c>
      <c r="AA278" s="8">
        <v>3</v>
      </c>
    </row>
    <row r="279" spans="3:27" ht="30" x14ac:dyDescent="0.25">
      <c r="C279" s="1" t="str">
        <f>_xlfn.XLOOKUP(Tabla9[[#This Row],[PROGRAMA ORIGEN]],PROGRAMAS_N[PROGRAMAS ORIGEN],PROGRAMAS_N[NIVEL],"")</f>
        <v>TECNÓLOGO</v>
      </c>
      <c r="D279" s="16" t="s">
        <v>155</v>
      </c>
      <c r="E279" s="14">
        <v>280301014</v>
      </c>
      <c r="F279" s="10" t="s">
        <v>496</v>
      </c>
      <c r="G279" s="10" cm="1">
        <f t="array" ref="G279">+_xlfn.XLOOKUP(Tabla9[[#This Row],[ESPACIO ACADÉMICO DESTINO]]&amp;Tabla9[[#This Row],[PROGRAMA DESTINO]],Tabla49[ESPACIO ACADÉMICO DESTINO]&amp;Tabla49[PROGRAMA],Tabla49[CÓDIGO],"")</f>
        <v>30103</v>
      </c>
      <c r="H279" s="10" t="s">
        <v>497</v>
      </c>
      <c r="I279" s="14" cm="1">
        <f t="array" ref="I279">+_xlfn.XLOOKUP(Tabla9[[#This Row],[ESPACIO ACADÉMICO DESTINO]]&amp;Tabla9[[#This Row],[PROGRAMA DESTINO]],Tabla49[ESPACIO ACADÉMICO DESTINO]&amp;Tabla49[PROGRAMA],Tabla49[CRÉDITOS],"")</f>
        <v>4</v>
      </c>
      <c r="J279" s="14">
        <v>4.5</v>
      </c>
      <c r="K279" s="10" t="s">
        <v>93</v>
      </c>
      <c r="X279" s="52" t="s">
        <v>116</v>
      </c>
      <c r="Y279" s="8">
        <v>73497</v>
      </c>
      <c r="Z279" s="8" t="s">
        <v>498</v>
      </c>
      <c r="AA279" s="8">
        <v>2</v>
      </c>
    </row>
    <row r="280" spans="3:27" ht="30" x14ac:dyDescent="0.25">
      <c r="C280" s="1" t="str">
        <f>_xlfn.XLOOKUP(Tabla9[[#This Row],[PROGRAMA ORIGEN]],PROGRAMAS_N[PROGRAMAS ORIGEN],PROGRAMAS_N[NIVEL],"")</f>
        <v>TECNÓLOGO</v>
      </c>
      <c r="D280" s="16" t="s">
        <v>155</v>
      </c>
      <c r="E280" s="14">
        <v>240201500</v>
      </c>
      <c r="F280" s="10" t="s">
        <v>144</v>
      </c>
      <c r="G280" s="10" cm="1">
        <f t="array" ref="G280">+_xlfn.XLOOKUP(Tabla9[[#This Row],[ESPACIO ACADÉMICO DESTINO]]&amp;Tabla9[[#This Row],[PROGRAMA DESTINO]],Tabla49[ESPACIO ACADÉMICO DESTINO]&amp;Tabla49[PROGRAMA],Tabla49[CÓDIGO],"")</f>
        <v>10102</v>
      </c>
      <c r="H280" s="10" t="s">
        <v>499</v>
      </c>
      <c r="I280" s="14" cm="1">
        <f t="array" ref="I280">+_xlfn.XLOOKUP(Tabla9[[#This Row],[ESPACIO ACADÉMICO DESTINO]]&amp;Tabla9[[#This Row],[PROGRAMA DESTINO]],Tabla49[ESPACIO ACADÉMICO DESTINO]&amp;Tabla49[PROGRAMA],Tabla49[CRÉDITOS],"")</f>
        <v>2</v>
      </c>
      <c r="J280" s="14">
        <v>4.5</v>
      </c>
      <c r="K280" s="10" t="s">
        <v>93</v>
      </c>
      <c r="X280" s="52" t="s">
        <v>116</v>
      </c>
      <c r="Y280" s="8">
        <v>16739</v>
      </c>
      <c r="Z280" s="8" t="s">
        <v>500</v>
      </c>
      <c r="AA280" s="8">
        <v>2</v>
      </c>
    </row>
    <row r="281" spans="3:27" ht="30" x14ac:dyDescent="0.25">
      <c r="C281" s="1" t="str">
        <f>_xlfn.XLOOKUP(Tabla9[[#This Row],[PROGRAMA ORIGEN]],PROGRAMAS_N[PROGRAMAS ORIGEN],PROGRAMAS_N[NIVEL],"")</f>
        <v>TECNÓLOGO</v>
      </c>
      <c r="D281" s="16" t="s">
        <v>155</v>
      </c>
      <c r="E281" s="14">
        <v>240201500</v>
      </c>
      <c r="F281" s="10" t="s">
        <v>144</v>
      </c>
      <c r="G281" s="10" cm="1">
        <f t="array" ref="G281">+_xlfn.XLOOKUP(Tabla9[[#This Row],[ESPACIO ACADÉMICO DESTINO]]&amp;Tabla9[[#This Row],[PROGRAMA DESTINO]],Tabla49[ESPACIO ACADÉMICO DESTINO]&amp;Tabla49[PROGRAMA],Tabla49[CÓDIGO],"")</f>
        <v>10146</v>
      </c>
      <c r="H281" s="10" t="s">
        <v>501</v>
      </c>
      <c r="I281" s="14" cm="1">
        <f t="array" ref="I281">+_xlfn.XLOOKUP(Tabla9[[#This Row],[ESPACIO ACADÉMICO DESTINO]]&amp;Tabla9[[#This Row],[PROGRAMA DESTINO]],Tabla49[ESPACIO ACADÉMICO DESTINO]&amp;Tabla49[PROGRAMA],Tabla49[CRÉDITOS],"")</f>
        <v>2</v>
      </c>
      <c r="J281" s="14">
        <v>4.5</v>
      </c>
      <c r="K281" s="10" t="s">
        <v>93</v>
      </c>
      <c r="X281" s="52" t="s">
        <v>116</v>
      </c>
      <c r="Y281" s="8">
        <v>16745</v>
      </c>
      <c r="Z281" s="8" t="s">
        <v>502</v>
      </c>
      <c r="AA281" s="8">
        <v>2</v>
      </c>
    </row>
    <row r="282" spans="3:27" x14ac:dyDescent="0.25">
      <c r="C282" s="1" t="str">
        <f>_xlfn.XLOOKUP(Tabla9[[#This Row],[PROGRAMA ORIGEN]],PROGRAMAS_N[PROGRAMAS ORIGEN],PROGRAMAS_N[NIVEL],"")</f>
        <v>TECNÓLOGO</v>
      </c>
      <c r="D282" s="16" t="s">
        <v>155</v>
      </c>
      <c r="E282" s="14">
        <v>280301021</v>
      </c>
      <c r="F282" s="10" t="s">
        <v>503</v>
      </c>
      <c r="G282" s="10" t="str" cm="1">
        <f t="array" ref="G282">+_xlfn.XLOOKUP(Tabla9[[#This Row],[ESPACIO ACADÉMICO DESTINO]]&amp;Tabla9[[#This Row],[PROGRAMA DESTINO]],Tabla49[ESPACIO ACADÉMICO DESTINO]&amp;Tabla49[PROGRAMA],Tabla49[CÓDIGO],"")</f>
        <v/>
      </c>
      <c r="H282" s="10"/>
      <c r="I282" s="14" t="str" cm="1">
        <f t="array" ref="I282">+_xlfn.XLOOKUP(Tabla9[[#This Row],[ESPACIO ACADÉMICO DESTINO]]&amp;Tabla9[[#This Row],[PROGRAMA DESTINO]],Tabla49[ESPACIO ACADÉMICO DESTINO]&amp;Tabla49[PROGRAMA],Tabla49[CRÉDITOS],"")</f>
        <v/>
      </c>
      <c r="J282" s="14"/>
      <c r="K282" s="10" t="s">
        <v>93</v>
      </c>
      <c r="X282" s="52" t="s">
        <v>116</v>
      </c>
      <c r="Y282" s="8">
        <v>73498</v>
      </c>
      <c r="Z282" s="8" t="s">
        <v>202</v>
      </c>
      <c r="AA282" s="8">
        <v>2</v>
      </c>
    </row>
    <row r="283" spans="3:27" ht="45" x14ac:dyDescent="0.25">
      <c r="C283" s="1" t="str">
        <f>_xlfn.XLOOKUP(Tabla9[[#This Row],[PROGRAMA ORIGEN]],PROGRAMAS_N[PROGRAMAS ORIGEN],PROGRAMAS_N[NIVEL],"")</f>
        <v>TECNÓLOGO</v>
      </c>
      <c r="D283" s="16" t="s">
        <v>194</v>
      </c>
      <c r="E283" s="14">
        <v>210101031</v>
      </c>
      <c r="F283" s="10" t="s">
        <v>504</v>
      </c>
      <c r="G283" s="10" cm="1">
        <f t="array" ref="G283">+_xlfn.XLOOKUP(Tabla9[[#This Row],[ESPACIO ACADÉMICO DESTINO]]&amp;Tabla9[[#This Row],[PROGRAMA DESTINO]],Tabla49[ESPACIO ACADÉMICO DESTINO]&amp;Tabla49[PROGRAMA],Tabla49[CÓDIGO],"")</f>
        <v>73619</v>
      </c>
      <c r="H283" s="10" t="s">
        <v>395</v>
      </c>
      <c r="I283" s="14" cm="1">
        <f t="array" ref="I283">+_xlfn.XLOOKUP(Tabla9[[#This Row],[ESPACIO ACADÉMICO DESTINO]]&amp;Tabla9[[#This Row],[PROGRAMA DESTINO]],Tabla49[ESPACIO ACADÉMICO DESTINO]&amp;Tabla49[PROGRAMA],Tabla49[CRÉDITOS],"")</f>
        <v>2</v>
      </c>
      <c r="J283" s="14">
        <v>4.5</v>
      </c>
      <c r="K283" s="10" t="s">
        <v>107</v>
      </c>
      <c r="X283" s="52" t="s">
        <v>116</v>
      </c>
      <c r="Y283" s="8">
        <v>73499</v>
      </c>
      <c r="Z283" s="8" t="s">
        <v>505</v>
      </c>
      <c r="AA283" s="8">
        <v>3</v>
      </c>
    </row>
    <row r="284" spans="3:27" ht="45" x14ac:dyDescent="0.25">
      <c r="C284" s="1" t="str">
        <f>_xlfn.XLOOKUP(Tabla9[[#This Row],[PROGRAMA ORIGEN]],PROGRAMAS_N[PROGRAMAS ORIGEN],PROGRAMAS_N[NIVEL],"")</f>
        <v>TECNÓLOGO</v>
      </c>
      <c r="D284" s="16" t="s">
        <v>194</v>
      </c>
      <c r="E284" s="14">
        <v>210101035</v>
      </c>
      <c r="F284" s="10" t="s">
        <v>506</v>
      </c>
      <c r="G284" s="10" t="str" cm="1">
        <f t="array" ref="G284">+_xlfn.XLOOKUP(Tabla9[[#This Row],[ESPACIO ACADÉMICO DESTINO]]&amp;Tabla9[[#This Row],[PROGRAMA DESTINO]],Tabla49[ESPACIO ACADÉMICO DESTINO]&amp;Tabla49[PROGRAMA],Tabla49[CÓDIGO],"")</f>
        <v/>
      </c>
      <c r="H284" s="10"/>
      <c r="I284" s="14" t="str" cm="1">
        <f t="array" ref="I284">+_xlfn.XLOOKUP(Tabla9[[#This Row],[ESPACIO ACADÉMICO DESTINO]]&amp;Tabla9[[#This Row],[PROGRAMA DESTINO]],Tabla49[ESPACIO ACADÉMICO DESTINO]&amp;Tabla49[PROGRAMA],Tabla49[CRÉDITOS],"")</f>
        <v/>
      </c>
      <c r="J284" s="14"/>
      <c r="K284" s="10" t="s">
        <v>107</v>
      </c>
      <c r="X284" s="52" t="s">
        <v>116</v>
      </c>
      <c r="Y284" s="8">
        <v>16338</v>
      </c>
      <c r="Z284" s="8" t="s">
        <v>507</v>
      </c>
      <c r="AA284" s="8">
        <v>2</v>
      </c>
    </row>
    <row r="285" spans="3:27" ht="45" x14ac:dyDescent="0.25">
      <c r="C285" s="1" t="str">
        <f>_xlfn.XLOOKUP(Tabla9[[#This Row],[PROGRAMA ORIGEN]],PROGRAMAS_N[PROGRAMAS ORIGEN],PROGRAMAS_N[NIVEL],"")</f>
        <v>TECNÓLOGO</v>
      </c>
      <c r="D285" s="16" t="s">
        <v>194</v>
      </c>
      <c r="E285" s="14">
        <v>240201500</v>
      </c>
      <c r="F285" s="10" t="s">
        <v>508</v>
      </c>
      <c r="G285" s="10" cm="1">
        <f t="array" ref="G285">+_xlfn.XLOOKUP(Tabla9[[#This Row],[ESPACIO ACADÉMICO DESTINO]]&amp;Tabla9[[#This Row],[PROGRAMA DESTINO]],Tabla49[ESPACIO ACADÉMICO DESTINO]&amp;Tabla49[PROGRAMA],Tabla49[CÓDIGO],"")</f>
        <v>15135</v>
      </c>
      <c r="H285" s="10" t="s">
        <v>56</v>
      </c>
      <c r="I285" s="14" cm="1">
        <f t="array" ref="I285">+_xlfn.XLOOKUP(Tabla9[[#This Row],[ESPACIO ACADÉMICO DESTINO]]&amp;Tabla9[[#This Row],[PROGRAMA DESTINO]],Tabla49[ESPACIO ACADÉMICO DESTINO]&amp;Tabla49[PROGRAMA],Tabla49[CRÉDITOS],"")</f>
        <v>2</v>
      </c>
      <c r="J285" s="14">
        <v>4.5</v>
      </c>
      <c r="K285" s="10" t="s">
        <v>107</v>
      </c>
      <c r="X285" s="52" t="s">
        <v>116</v>
      </c>
      <c r="Y285" s="8">
        <v>16339</v>
      </c>
      <c r="Z285" s="8" t="s">
        <v>509</v>
      </c>
      <c r="AA285" s="8">
        <v>2</v>
      </c>
    </row>
    <row r="286" spans="3:27" ht="45" x14ac:dyDescent="0.25">
      <c r="C286" s="1" t="str">
        <f>_xlfn.XLOOKUP(Tabla9[[#This Row],[PROGRAMA ORIGEN]],PROGRAMAS_N[PROGRAMAS ORIGEN],PROGRAMAS_N[NIVEL],"")</f>
        <v>TECNÓLOGO</v>
      </c>
      <c r="D286" s="16" t="s">
        <v>194</v>
      </c>
      <c r="E286" s="14">
        <v>210101005</v>
      </c>
      <c r="F286" s="10" t="s">
        <v>510</v>
      </c>
      <c r="G286" s="10" cm="1">
        <f t="array" ref="G286">+_xlfn.XLOOKUP(Tabla9[[#This Row],[ESPACIO ACADÉMICO DESTINO]]&amp;Tabla9[[#This Row],[PROGRAMA DESTINO]],Tabla49[ESPACIO ACADÉMICO DESTINO]&amp;Tabla49[PROGRAMA],Tabla49[CÓDIGO],"")</f>
        <v>16690</v>
      </c>
      <c r="H286" s="10" t="s">
        <v>391</v>
      </c>
      <c r="I286" s="14" cm="1">
        <f t="array" ref="I286">+_xlfn.XLOOKUP(Tabla9[[#This Row],[ESPACIO ACADÉMICO DESTINO]]&amp;Tabla9[[#This Row],[PROGRAMA DESTINO]],Tabla49[ESPACIO ACADÉMICO DESTINO]&amp;Tabla49[PROGRAMA],Tabla49[CRÉDITOS],"")</f>
        <v>2</v>
      </c>
      <c r="J286" s="14">
        <v>4.5</v>
      </c>
      <c r="K286" s="10" t="s">
        <v>107</v>
      </c>
      <c r="X286" s="52" t="s">
        <v>116</v>
      </c>
      <c r="Y286" s="8">
        <v>16748</v>
      </c>
      <c r="Z286" s="8" t="s">
        <v>511</v>
      </c>
      <c r="AA286" s="8">
        <v>2</v>
      </c>
    </row>
    <row r="287" spans="3:27" ht="45" x14ac:dyDescent="0.25">
      <c r="C287" s="1" t="str">
        <f>_xlfn.XLOOKUP(Tabla9[[#This Row],[PROGRAMA ORIGEN]],PROGRAMAS_N[PROGRAMAS ORIGEN],PROGRAMAS_N[NIVEL],"")</f>
        <v>TECNÓLOGO</v>
      </c>
      <c r="D287" s="16" t="s">
        <v>194</v>
      </c>
      <c r="E287" s="14">
        <v>210101007</v>
      </c>
      <c r="F287" s="10" t="s">
        <v>512</v>
      </c>
      <c r="G287" s="10" t="str" cm="1">
        <f t="array" ref="G287">+_xlfn.XLOOKUP(Tabla9[[#This Row],[ESPACIO ACADÉMICO DESTINO]]&amp;Tabla9[[#This Row],[PROGRAMA DESTINO]],Tabla49[ESPACIO ACADÉMICO DESTINO]&amp;Tabla49[PROGRAMA],Tabla49[CÓDIGO],"")</f>
        <v/>
      </c>
      <c r="H287" s="10"/>
      <c r="I287" s="14" t="str" cm="1">
        <f t="array" ref="I287">+_xlfn.XLOOKUP(Tabla9[[#This Row],[ESPACIO ACADÉMICO DESTINO]]&amp;Tabla9[[#This Row],[PROGRAMA DESTINO]],Tabla49[ESPACIO ACADÉMICO DESTINO]&amp;Tabla49[PROGRAMA],Tabla49[CRÉDITOS],"")</f>
        <v/>
      </c>
      <c r="J287" s="14"/>
      <c r="K287" s="10" t="s">
        <v>107</v>
      </c>
      <c r="X287" s="52" t="s">
        <v>116</v>
      </c>
      <c r="Y287" s="8">
        <v>16326</v>
      </c>
      <c r="Z287" s="8" t="s">
        <v>214</v>
      </c>
      <c r="AA287" s="8">
        <v>2</v>
      </c>
    </row>
    <row r="288" spans="3:27" ht="45" x14ac:dyDescent="0.25">
      <c r="C288" s="1" t="str">
        <f>_xlfn.XLOOKUP(Tabla9[[#This Row],[PROGRAMA ORIGEN]],PROGRAMAS_N[PROGRAMAS ORIGEN],PROGRAMAS_N[NIVEL],"")</f>
        <v>TECNÓLOGO</v>
      </c>
      <c r="D288" s="16" t="s">
        <v>194</v>
      </c>
      <c r="E288" s="14">
        <v>210101028</v>
      </c>
      <c r="F288" s="10" t="s">
        <v>513</v>
      </c>
      <c r="G288" s="10" cm="1">
        <f t="array" ref="G288">+_xlfn.XLOOKUP(Tabla9[[#This Row],[ESPACIO ACADÉMICO DESTINO]]&amp;Tabla9[[#This Row],[PROGRAMA DESTINO]],Tabla49[ESPACIO ACADÉMICO DESTINO]&amp;Tabla49[PROGRAMA],Tabla49[CÓDIGO],"")</f>
        <v>16915</v>
      </c>
      <c r="H288" s="10" t="s">
        <v>402</v>
      </c>
      <c r="I288" s="14" cm="1">
        <f t="array" ref="I288">+_xlfn.XLOOKUP(Tabla9[[#This Row],[ESPACIO ACADÉMICO DESTINO]]&amp;Tabla9[[#This Row],[PROGRAMA DESTINO]],Tabla49[ESPACIO ACADÉMICO DESTINO]&amp;Tabla49[PROGRAMA],Tabla49[CRÉDITOS],"")</f>
        <v>2</v>
      </c>
      <c r="J288" s="14">
        <v>4.5</v>
      </c>
      <c r="K288" s="10" t="s">
        <v>107</v>
      </c>
      <c r="X288" s="52" t="s">
        <v>116</v>
      </c>
      <c r="Y288" s="8">
        <v>16541</v>
      </c>
      <c r="Z288" s="8" t="s">
        <v>514</v>
      </c>
      <c r="AA288" s="8">
        <v>3</v>
      </c>
    </row>
    <row r="289" spans="3:27" ht="45" x14ac:dyDescent="0.25">
      <c r="C289" s="1" t="str">
        <f>_xlfn.XLOOKUP(Tabla9[[#This Row],[PROGRAMA ORIGEN]],PROGRAMAS_N[PROGRAMAS ORIGEN],PROGRAMAS_N[NIVEL],"")</f>
        <v>TECNÓLOGO</v>
      </c>
      <c r="D289" s="16" t="s">
        <v>194</v>
      </c>
      <c r="E289" s="14">
        <v>210101020</v>
      </c>
      <c r="F289" s="10" t="s">
        <v>515</v>
      </c>
      <c r="G289" s="10" cm="1">
        <f t="array" ref="G289">+_xlfn.XLOOKUP(Tabla9[[#This Row],[ESPACIO ACADÉMICO DESTINO]]&amp;Tabla9[[#This Row],[PROGRAMA DESTINO]],Tabla49[ESPACIO ACADÉMICO DESTINO]&amp;Tabla49[PROGRAMA],Tabla49[CÓDIGO],"")</f>
        <v>73623</v>
      </c>
      <c r="H289" s="10" t="s">
        <v>409</v>
      </c>
      <c r="I289" s="14" cm="1">
        <f t="array" ref="I289">+_xlfn.XLOOKUP(Tabla9[[#This Row],[ESPACIO ACADÉMICO DESTINO]]&amp;Tabla9[[#This Row],[PROGRAMA DESTINO]],Tabla49[ESPACIO ACADÉMICO DESTINO]&amp;Tabla49[PROGRAMA],Tabla49[CRÉDITOS],"")</f>
        <v>2</v>
      </c>
      <c r="J289" s="14">
        <v>4.5</v>
      </c>
      <c r="K289" s="10" t="s">
        <v>107</v>
      </c>
      <c r="X289" s="52" t="s">
        <v>116</v>
      </c>
      <c r="Y289" s="8">
        <v>73500</v>
      </c>
      <c r="Z289" s="8" t="s">
        <v>302</v>
      </c>
      <c r="AA289" s="8">
        <v>3</v>
      </c>
    </row>
    <row r="290" spans="3:27" ht="45" x14ac:dyDescent="0.25">
      <c r="C290" s="1" t="str">
        <f>_xlfn.XLOOKUP(Tabla9[[#This Row],[PROGRAMA ORIGEN]],PROGRAMAS_N[PROGRAMAS ORIGEN],PROGRAMAS_N[NIVEL],"")</f>
        <v>TECNÓLOGO</v>
      </c>
      <c r="D290" s="16" t="s">
        <v>194</v>
      </c>
      <c r="E290" s="14">
        <v>210101035</v>
      </c>
      <c r="F290" s="10" t="s">
        <v>506</v>
      </c>
      <c r="G290" s="10" t="str" cm="1">
        <f t="array" ref="G290">+_xlfn.XLOOKUP(Tabla9[[#This Row],[ESPACIO ACADÉMICO DESTINO]]&amp;Tabla9[[#This Row],[PROGRAMA DESTINO]],Tabla49[ESPACIO ACADÉMICO DESTINO]&amp;Tabla49[PROGRAMA],Tabla49[CÓDIGO],"")</f>
        <v/>
      </c>
      <c r="H290" s="10"/>
      <c r="I290" s="14" t="str" cm="1">
        <f t="array" ref="I290">+_xlfn.XLOOKUP(Tabla9[[#This Row],[ESPACIO ACADÉMICO DESTINO]]&amp;Tabla9[[#This Row],[PROGRAMA DESTINO]],Tabla49[ESPACIO ACADÉMICO DESTINO]&amp;Tabla49[PROGRAMA],Tabla49[CRÉDITOS],"")</f>
        <v/>
      </c>
      <c r="J290" s="14"/>
      <c r="K290" s="10" t="s">
        <v>107</v>
      </c>
      <c r="X290" s="52" t="s">
        <v>116</v>
      </c>
      <c r="Y290" s="8">
        <v>73501</v>
      </c>
      <c r="Z290" s="8" t="s">
        <v>516</v>
      </c>
      <c r="AA290" s="8">
        <v>3</v>
      </c>
    </row>
    <row r="291" spans="3:27" ht="45" x14ac:dyDescent="0.25">
      <c r="C291" s="1" t="str">
        <f>_xlfn.XLOOKUP(Tabla9[[#This Row],[PROGRAMA ORIGEN]],PROGRAMAS_N[PROGRAMAS ORIGEN],PROGRAMAS_N[NIVEL],"")</f>
        <v>TECNÓLOGO</v>
      </c>
      <c r="D291" s="16" t="s">
        <v>194</v>
      </c>
      <c r="E291" s="14">
        <v>210101013</v>
      </c>
      <c r="F291" s="10" t="s">
        <v>517</v>
      </c>
      <c r="G291" s="10" cm="1">
        <f t="array" ref="G291">+_xlfn.XLOOKUP(Tabla9[[#This Row],[ESPACIO ACADÉMICO DESTINO]]&amp;Tabla9[[#This Row],[PROGRAMA DESTINO]],Tabla49[ESPACIO ACADÉMICO DESTINO]&amp;Tabla49[PROGRAMA],Tabla49[CÓDIGO],"")</f>
        <v>31038</v>
      </c>
      <c r="H291" s="10" t="s">
        <v>407</v>
      </c>
      <c r="I291" s="14" cm="1">
        <f t="array" ref="I291">+_xlfn.XLOOKUP(Tabla9[[#This Row],[ESPACIO ACADÉMICO DESTINO]]&amp;Tabla9[[#This Row],[PROGRAMA DESTINO]],Tabla49[ESPACIO ACADÉMICO DESTINO]&amp;Tabla49[PROGRAMA],Tabla49[CRÉDITOS],"")</f>
        <v>2</v>
      </c>
      <c r="J291" s="14">
        <v>4.5</v>
      </c>
      <c r="K291" s="10" t="s">
        <v>107</v>
      </c>
      <c r="X291" s="52" t="s">
        <v>116</v>
      </c>
      <c r="Y291" s="8">
        <v>16341</v>
      </c>
      <c r="Z291" s="8" t="s">
        <v>518</v>
      </c>
      <c r="AA291" s="8">
        <v>3</v>
      </c>
    </row>
    <row r="292" spans="3:27" ht="45" x14ac:dyDescent="0.25">
      <c r="C292" s="1" t="str">
        <f>_xlfn.XLOOKUP(Tabla9[[#This Row],[PROGRAMA ORIGEN]],PROGRAMAS_N[PROGRAMAS ORIGEN],PROGRAMAS_N[NIVEL],"")</f>
        <v>TECNÓLOGO</v>
      </c>
      <c r="D292" s="16" t="s">
        <v>194</v>
      </c>
      <c r="E292" s="14">
        <v>260101027</v>
      </c>
      <c r="F292" s="10" t="s">
        <v>519</v>
      </c>
      <c r="G292" s="10" t="str" cm="1">
        <f t="array" ref="G292">+_xlfn.XLOOKUP(Tabla9[[#This Row],[ESPACIO ACADÉMICO DESTINO]]&amp;Tabla9[[#This Row],[PROGRAMA DESTINO]],Tabla49[ESPACIO ACADÉMICO DESTINO]&amp;Tabla49[PROGRAMA],Tabla49[CÓDIGO],"")</f>
        <v/>
      </c>
      <c r="H292" s="10"/>
      <c r="I292" s="14" t="str" cm="1">
        <f t="array" ref="I292">+_xlfn.XLOOKUP(Tabla9[[#This Row],[ESPACIO ACADÉMICO DESTINO]]&amp;Tabla9[[#This Row],[PROGRAMA DESTINO]],Tabla49[ESPACIO ACADÉMICO DESTINO]&amp;Tabla49[PROGRAMA],Tabla49[CRÉDITOS],"")</f>
        <v/>
      </c>
      <c r="J292" s="14"/>
      <c r="K292" s="10" t="s">
        <v>107</v>
      </c>
      <c r="X292" s="52" t="s">
        <v>116</v>
      </c>
      <c r="Y292" s="8">
        <v>73502</v>
      </c>
      <c r="Z292" s="8" t="s">
        <v>520</v>
      </c>
      <c r="AA292" s="8">
        <v>2</v>
      </c>
    </row>
    <row r="293" spans="3:27" ht="45" x14ac:dyDescent="0.25">
      <c r="C293" s="1" t="str">
        <f>_xlfn.XLOOKUP(Tabla9[[#This Row],[PROGRAMA ORIGEN]],PROGRAMAS_N[PROGRAMAS ORIGEN],PROGRAMAS_N[NIVEL],"")</f>
        <v>TECNÓLOGO</v>
      </c>
      <c r="D293" s="16" t="s">
        <v>194</v>
      </c>
      <c r="E293" s="14">
        <v>210101008</v>
      </c>
      <c r="F293" s="10" t="s">
        <v>521</v>
      </c>
      <c r="G293" s="10" cm="1">
        <f t="array" ref="G293">+_xlfn.XLOOKUP(Tabla9[[#This Row],[ESPACIO ACADÉMICO DESTINO]]&amp;Tabla9[[#This Row],[PROGRAMA DESTINO]],Tabla49[ESPACIO ACADÉMICO DESTINO]&amp;Tabla49[PROGRAMA],Tabla49[CÓDIGO],"")</f>
        <v>73624</v>
      </c>
      <c r="H293" s="10" t="s">
        <v>153</v>
      </c>
      <c r="I293" s="14" cm="1">
        <f t="array" ref="I293">+_xlfn.XLOOKUP(Tabla9[[#This Row],[ESPACIO ACADÉMICO DESTINO]]&amp;Tabla9[[#This Row],[PROGRAMA DESTINO]],Tabla49[ESPACIO ACADÉMICO DESTINO]&amp;Tabla49[PROGRAMA],Tabla49[CRÉDITOS],"")</f>
        <v>2</v>
      </c>
      <c r="J293" s="14">
        <v>4.5</v>
      </c>
      <c r="K293" s="10" t="s">
        <v>107</v>
      </c>
      <c r="X293" s="52" t="s">
        <v>116</v>
      </c>
      <c r="Y293" s="8">
        <v>73503</v>
      </c>
      <c r="Z293" s="8" t="s">
        <v>522</v>
      </c>
      <c r="AA293" s="8">
        <v>2</v>
      </c>
    </row>
    <row r="294" spans="3:27" ht="45" x14ac:dyDescent="0.25">
      <c r="C294" s="1" t="str">
        <f>_xlfn.XLOOKUP(Tabla9[[#This Row],[PROGRAMA ORIGEN]],PROGRAMAS_N[PROGRAMAS ORIGEN],PROGRAMAS_N[NIVEL],"")</f>
        <v>TECNÓLOGO</v>
      </c>
      <c r="D294" s="16" t="s">
        <v>194</v>
      </c>
      <c r="E294" s="14">
        <v>210101001</v>
      </c>
      <c r="F294" s="10" t="s">
        <v>523</v>
      </c>
      <c r="G294" s="10" cm="1">
        <f t="array" ref="G294">+_xlfn.XLOOKUP(Tabla9[[#This Row],[ESPACIO ACADÉMICO DESTINO]]&amp;Tabla9[[#This Row],[PROGRAMA DESTINO]],Tabla49[ESPACIO ACADÉMICO DESTINO]&amp;Tabla49[PROGRAMA],Tabla49[CÓDIGO],"")</f>
        <v>73626</v>
      </c>
      <c r="H294" s="10" t="s">
        <v>420</v>
      </c>
      <c r="I294" s="14" cm="1">
        <f t="array" ref="I294">+_xlfn.XLOOKUP(Tabla9[[#This Row],[ESPACIO ACADÉMICO DESTINO]]&amp;Tabla9[[#This Row],[PROGRAMA DESTINO]],Tabla49[ESPACIO ACADÉMICO DESTINO]&amp;Tabla49[PROGRAMA],Tabla49[CRÉDITOS],"")</f>
        <v>3</v>
      </c>
      <c r="J294" s="14">
        <v>4.5</v>
      </c>
      <c r="K294" s="10" t="s">
        <v>107</v>
      </c>
      <c r="X294" s="52" t="s">
        <v>116</v>
      </c>
      <c r="Y294" s="8">
        <v>16542</v>
      </c>
      <c r="Z294" s="8" t="s">
        <v>524</v>
      </c>
      <c r="AA294" s="8">
        <v>3</v>
      </c>
    </row>
    <row r="295" spans="3:27" ht="45" x14ac:dyDescent="0.25">
      <c r="C295" s="1" t="str">
        <f>_xlfn.XLOOKUP(Tabla9[[#This Row],[PROGRAMA ORIGEN]],PROGRAMAS_N[PROGRAMAS ORIGEN],PROGRAMAS_N[NIVEL],"")</f>
        <v>TECNÓLOGO</v>
      </c>
      <c r="D295" s="16" t="s">
        <v>194</v>
      </c>
      <c r="E295" s="14">
        <v>210101027</v>
      </c>
      <c r="F295" s="10" t="s">
        <v>525</v>
      </c>
      <c r="G295" s="10" cm="1">
        <f t="array" ref="G295">+_xlfn.XLOOKUP(Tabla9[[#This Row],[ESPACIO ACADÉMICO DESTINO]]&amp;Tabla9[[#This Row],[PROGRAMA DESTINO]],Tabla49[ESPACIO ACADÉMICO DESTINO]&amp;Tabla49[PROGRAMA],Tabla49[CÓDIGO],"")</f>
        <v>73627</v>
      </c>
      <c r="H295" s="10" t="s">
        <v>421</v>
      </c>
      <c r="I295" s="14" cm="1">
        <f t="array" ref="I295">+_xlfn.XLOOKUP(Tabla9[[#This Row],[ESPACIO ACADÉMICO DESTINO]]&amp;Tabla9[[#This Row],[PROGRAMA DESTINO]],Tabla49[ESPACIO ACADÉMICO DESTINO]&amp;Tabla49[PROGRAMA],Tabla49[CRÉDITOS],"")</f>
        <v>3</v>
      </c>
      <c r="J295" s="14">
        <v>4.5</v>
      </c>
      <c r="K295" s="10" t="s">
        <v>107</v>
      </c>
      <c r="X295" s="52" t="s">
        <v>116</v>
      </c>
      <c r="Y295" s="8">
        <v>73504</v>
      </c>
      <c r="Z295" s="8" t="s">
        <v>304</v>
      </c>
      <c r="AA295" s="8">
        <v>3</v>
      </c>
    </row>
    <row r="296" spans="3:27" ht="45" x14ac:dyDescent="0.25">
      <c r="C296" s="1" t="str">
        <f>_xlfn.XLOOKUP(Tabla9[[#This Row],[PROGRAMA ORIGEN]],PROGRAMAS_N[PROGRAMAS ORIGEN],PROGRAMAS_N[NIVEL],"")</f>
        <v>TECNÓLOGO</v>
      </c>
      <c r="D296" s="16" t="s">
        <v>194</v>
      </c>
      <c r="E296" s="14">
        <v>210101040</v>
      </c>
      <c r="F296" s="10" t="s">
        <v>526</v>
      </c>
      <c r="G296" s="10" cm="1">
        <f t="array" ref="G296">+_xlfn.XLOOKUP(Tabla9[[#This Row],[ESPACIO ACADÉMICO DESTINO]]&amp;Tabla9[[#This Row],[PROGRAMA DESTINO]],Tabla49[ESPACIO ACADÉMICO DESTINO]&amp;Tabla49[PROGRAMA],Tabla49[CÓDIGO],"")</f>
        <v>73639</v>
      </c>
      <c r="H296" s="10" t="s">
        <v>441</v>
      </c>
      <c r="I296" s="14" cm="1">
        <f t="array" ref="I296">+_xlfn.XLOOKUP(Tabla9[[#This Row],[ESPACIO ACADÉMICO DESTINO]]&amp;Tabla9[[#This Row],[PROGRAMA DESTINO]],Tabla49[ESPACIO ACADÉMICO DESTINO]&amp;Tabla49[PROGRAMA],Tabla49[CRÉDITOS],"")</f>
        <v>2</v>
      </c>
      <c r="J296" s="14">
        <v>4.5</v>
      </c>
      <c r="K296" s="10" t="s">
        <v>107</v>
      </c>
      <c r="X296" s="52" t="s">
        <v>116</v>
      </c>
      <c r="Y296" s="8">
        <v>16395</v>
      </c>
      <c r="Z296" s="8" t="s">
        <v>527</v>
      </c>
      <c r="AA296" s="8">
        <v>3</v>
      </c>
    </row>
    <row r="297" spans="3:27" ht="45" x14ac:dyDescent="0.25">
      <c r="C297" s="1" t="str">
        <f>_xlfn.XLOOKUP(Tabla9[[#This Row],[PROGRAMA ORIGEN]],PROGRAMAS_N[PROGRAMAS ORIGEN],PROGRAMAS_N[NIVEL],"")</f>
        <v>TECNÓLOGO</v>
      </c>
      <c r="D297" s="16" t="s">
        <v>194</v>
      </c>
      <c r="E297" s="14">
        <v>210101024</v>
      </c>
      <c r="F297" s="10" t="s">
        <v>528</v>
      </c>
      <c r="G297" s="10" t="str" cm="1">
        <f t="array" ref="G297">+_xlfn.XLOOKUP(Tabla9[[#This Row],[ESPACIO ACADÉMICO DESTINO]]&amp;Tabla9[[#This Row],[PROGRAMA DESTINO]],Tabla49[ESPACIO ACADÉMICO DESTINO]&amp;Tabla49[PROGRAMA],Tabla49[CÓDIGO],"")</f>
        <v/>
      </c>
      <c r="H297" s="10"/>
      <c r="I297" s="14" t="str" cm="1">
        <f t="array" ref="I297">+_xlfn.XLOOKUP(Tabla9[[#This Row],[ESPACIO ACADÉMICO DESTINO]]&amp;Tabla9[[#This Row],[PROGRAMA DESTINO]],Tabla49[ESPACIO ACADÉMICO DESTINO]&amp;Tabla49[PROGRAMA],Tabla49[CRÉDITOS],"")</f>
        <v/>
      </c>
      <c r="J297" s="14"/>
      <c r="K297" s="10" t="s">
        <v>107</v>
      </c>
      <c r="X297" s="52" t="s">
        <v>116</v>
      </c>
      <c r="Y297" s="8">
        <v>73505</v>
      </c>
      <c r="Z297" s="8" t="s">
        <v>529</v>
      </c>
      <c r="AA297" s="8">
        <v>2</v>
      </c>
    </row>
    <row r="298" spans="3:27" ht="45" x14ac:dyDescent="0.25">
      <c r="C298" s="1" t="str">
        <f>_xlfn.XLOOKUP(Tabla9[[#This Row],[PROGRAMA ORIGEN]],PROGRAMAS_N[PROGRAMAS ORIGEN],PROGRAMAS_N[NIVEL],"")</f>
        <v>TECNÓLOGO</v>
      </c>
      <c r="D298" s="16" t="s">
        <v>194</v>
      </c>
      <c r="E298" s="14">
        <v>210101021</v>
      </c>
      <c r="F298" s="10" t="s">
        <v>530</v>
      </c>
      <c r="G298" s="10" cm="1">
        <f t="array" ref="G298">+_xlfn.XLOOKUP(Tabla9[[#This Row],[ESPACIO ACADÉMICO DESTINO]]&amp;Tabla9[[#This Row],[PROGRAMA DESTINO]],Tabla49[ESPACIO ACADÉMICO DESTINO]&amp;Tabla49[PROGRAMA],Tabla49[CÓDIGO],"")</f>
        <v>73643</v>
      </c>
      <c r="H298" s="10" t="s">
        <v>446</v>
      </c>
      <c r="I298" s="14" cm="1">
        <f t="array" ref="I298">+_xlfn.XLOOKUP(Tabla9[[#This Row],[ESPACIO ACADÉMICO DESTINO]]&amp;Tabla9[[#This Row],[PROGRAMA DESTINO]],Tabla49[ESPACIO ACADÉMICO DESTINO]&amp;Tabla49[PROGRAMA],Tabla49[CRÉDITOS],"")</f>
        <v>2</v>
      </c>
      <c r="J298" s="14">
        <v>4.5</v>
      </c>
      <c r="K298" s="10" t="s">
        <v>107</v>
      </c>
      <c r="X298" s="52" t="s">
        <v>116</v>
      </c>
      <c r="Y298" s="8">
        <v>73506</v>
      </c>
      <c r="Z298" s="8" t="s">
        <v>531</v>
      </c>
      <c r="AA298" s="8">
        <v>2</v>
      </c>
    </row>
    <row r="299" spans="3:27" ht="45" x14ac:dyDescent="0.25">
      <c r="C299" s="1" t="str">
        <f>_xlfn.XLOOKUP(Tabla9[[#This Row],[PROGRAMA ORIGEN]],PROGRAMAS_N[PROGRAMAS ORIGEN],PROGRAMAS_N[NIVEL],"")</f>
        <v>TECNÓLOGO</v>
      </c>
      <c r="D299" s="16" t="s">
        <v>197</v>
      </c>
      <c r="E299" s="14">
        <v>210101007</v>
      </c>
      <c r="F299" s="10" t="s">
        <v>512</v>
      </c>
      <c r="G299" s="10" cm="1">
        <f t="array" ref="G299">+_xlfn.XLOOKUP(Tabla9[[#This Row],[ESPACIO ACADÉMICO DESTINO]]&amp;Tabla9[[#This Row],[PROGRAMA DESTINO]],Tabla49[ESPACIO ACADÉMICO DESTINO]&amp;Tabla49[PROGRAMA],Tabla49[CÓDIGO],"")</f>
        <v>73619</v>
      </c>
      <c r="H299" s="10" t="s">
        <v>395</v>
      </c>
      <c r="I299" s="14" cm="1">
        <f t="array" ref="I299">+_xlfn.XLOOKUP(Tabla9[[#This Row],[ESPACIO ACADÉMICO DESTINO]]&amp;Tabla9[[#This Row],[PROGRAMA DESTINO]],Tabla49[ESPACIO ACADÉMICO DESTINO]&amp;Tabla49[PROGRAMA],Tabla49[CRÉDITOS],"")</f>
        <v>2</v>
      </c>
      <c r="J299" s="14">
        <v>4.5</v>
      </c>
      <c r="K299" s="10" t="s">
        <v>107</v>
      </c>
      <c r="X299" s="52" t="s">
        <v>116</v>
      </c>
      <c r="Y299" s="8">
        <v>73507</v>
      </c>
      <c r="Z299" s="8" t="s">
        <v>532</v>
      </c>
      <c r="AA299" s="8">
        <v>2</v>
      </c>
    </row>
    <row r="300" spans="3:27" ht="45" x14ac:dyDescent="0.25">
      <c r="C300" s="1" t="str">
        <f>_xlfn.XLOOKUP(Tabla9[[#This Row],[PROGRAMA ORIGEN]],PROGRAMAS_N[PROGRAMAS ORIGEN],PROGRAMAS_N[NIVEL],"")</f>
        <v>TECNÓLOGO</v>
      </c>
      <c r="D300" s="16" t="s">
        <v>197</v>
      </c>
      <c r="E300" s="14">
        <v>240201500</v>
      </c>
      <c r="F300" s="10" t="s">
        <v>508</v>
      </c>
      <c r="G300" s="10" cm="1">
        <f t="array" ref="G300">+_xlfn.XLOOKUP(Tabla9[[#This Row],[ESPACIO ACADÉMICO DESTINO]]&amp;Tabla9[[#This Row],[PROGRAMA DESTINO]],Tabla49[ESPACIO ACADÉMICO DESTINO]&amp;Tabla49[PROGRAMA],Tabla49[CÓDIGO],"")</f>
        <v>15135</v>
      </c>
      <c r="H300" s="10" t="s">
        <v>56</v>
      </c>
      <c r="I300" s="14" cm="1">
        <f t="array" ref="I300">+_xlfn.XLOOKUP(Tabla9[[#This Row],[ESPACIO ACADÉMICO DESTINO]]&amp;Tabla9[[#This Row],[PROGRAMA DESTINO]],Tabla49[ESPACIO ACADÉMICO DESTINO]&amp;Tabla49[PROGRAMA],Tabla49[CRÉDITOS],"")</f>
        <v>2</v>
      </c>
      <c r="J300" s="14">
        <v>4.5</v>
      </c>
      <c r="K300" s="10" t="s">
        <v>107</v>
      </c>
      <c r="X300" s="52" t="s">
        <v>116</v>
      </c>
      <c r="Y300" s="8">
        <v>16340</v>
      </c>
      <c r="Z300" s="8" t="s">
        <v>533</v>
      </c>
      <c r="AA300" s="8">
        <v>3</v>
      </c>
    </row>
    <row r="301" spans="3:27" ht="45" x14ac:dyDescent="0.25">
      <c r="C301" s="1" t="str">
        <f>_xlfn.XLOOKUP(Tabla9[[#This Row],[PROGRAMA ORIGEN]],PROGRAMAS_N[PROGRAMAS ORIGEN],PROGRAMAS_N[NIVEL],"")</f>
        <v>TECNÓLOGO</v>
      </c>
      <c r="D301" s="16" t="s">
        <v>197</v>
      </c>
      <c r="E301" s="14">
        <v>210101005</v>
      </c>
      <c r="F301" s="10" t="s">
        <v>510</v>
      </c>
      <c r="G301" s="10" cm="1">
        <f t="array" ref="G301">+_xlfn.XLOOKUP(Tabla9[[#This Row],[ESPACIO ACADÉMICO DESTINO]]&amp;Tabla9[[#This Row],[PROGRAMA DESTINO]],Tabla49[ESPACIO ACADÉMICO DESTINO]&amp;Tabla49[PROGRAMA],Tabla49[CÓDIGO],"")</f>
        <v>16690</v>
      </c>
      <c r="H301" s="10" t="s">
        <v>391</v>
      </c>
      <c r="I301" s="14" cm="1">
        <f t="array" ref="I301">+_xlfn.XLOOKUP(Tabla9[[#This Row],[ESPACIO ACADÉMICO DESTINO]]&amp;Tabla9[[#This Row],[PROGRAMA DESTINO]],Tabla49[ESPACIO ACADÉMICO DESTINO]&amp;Tabla49[PROGRAMA],Tabla49[CRÉDITOS],"")</f>
        <v>2</v>
      </c>
      <c r="J301" s="14">
        <v>4.5</v>
      </c>
      <c r="K301" s="10" t="s">
        <v>107</v>
      </c>
      <c r="X301" s="52" t="s">
        <v>116</v>
      </c>
      <c r="Y301" s="8">
        <v>16723</v>
      </c>
      <c r="Z301" s="8" t="s">
        <v>534</v>
      </c>
      <c r="AA301" s="8">
        <v>2</v>
      </c>
    </row>
    <row r="302" spans="3:27" ht="45" x14ac:dyDescent="0.25">
      <c r="C302" s="1" t="str">
        <f>_xlfn.XLOOKUP(Tabla9[[#This Row],[PROGRAMA ORIGEN]],PROGRAMAS_N[PROGRAMAS ORIGEN],PROGRAMAS_N[NIVEL],"")</f>
        <v>TECNÓLOGO</v>
      </c>
      <c r="D302" s="16" t="s">
        <v>197</v>
      </c>
      <c r="E302" s="14">
        <v>210101007</v>
      </c>
      <c r="F302" s="10" t="s">
        <v>512</v>
      </c>
      <c r="G302" s="10" t="str" cm="1">
        <f t="array" ref="G302">+_xlfn.XLOOKUP(Tabla9[[#This Row],[ESPACIO ACADÉMICO DESTINO]]&amp;Tabla9[[#This Row],[PROGRAMA DESTINO]],Tabla49[ESPACIO ACADÉMICO DESTINO]&amp;Tabla49[PROGRAMA],Tabla49[CÓDIGO],"")</f>
        <v/>
      </c>
      <c r="H302" s="10"/>
      <c r="I302" s="14" t="str" cm="1">
        <f t="array" ref="I302">+_xlfn.XLOOKUP(Tabla9[[#This Row],[ESPACIO ACADÉMICO DESTINO]]&amp;Tabla9[[#This Row],[PROGRAMA DESTINO]],Tabla49[ESPACIO ACADÉMICO DESTINO]&amp;Tabla49[PROGRAMA],Tabla49[CRÉDITOS],"")</f>
        <v/>
      </c>
      <c r="J302" s="14"/>
      <c r="K302" s="10" t="s">
        <v>107</v>
      </c>
      <c r="X302" s="52" t="s">
        <v>116</v>
      </c>
      <c r="Y302" s="8">
        <v>73508</v>
      </c>
      <c r="Z302" s="8" t="s">
        <v>311</v>
      </c>
      <c r="AA302" s="8">
        <v>3</v>
      </c>
    </row>
    <row r="303" spans="3:27" ht="45" x14ac:dyDescent="0.25">
      <c r="C303" s="1" t="str">
        <f>_xlfn.XLOOKUP(Tabla9[[#This Row],[PROGRAMA ORIGEN]],PROGRAMAS_N[PROGRAMAS ORIGEN],PROGRAMAS_N[NIVEL],"")</f>
        <v>TECNÓLOGO</v>
      </c>
      <c r="D303" s="16" t="s">
        <v>197</v>
      </c>
      <c r="E303" s="14">
        <v>210101028</v>
      </c>
      <c r="F303" s="10" t="s">
        <v>513</v>
      </c>
      <c r="G303" s="10" cm="1">
        <f t="array" ref="G303">+_xlfn.XLOOKUP(Tabla9[[#This Row],[ESPACIO ACADÉMICO DESTINO]]&amp;Tabla9[[#This Row],[PROGRAMA DESTINO]],Tabla49[ESPACIO ACADÉMICO DESTINO]&amp;Tabla49[PROGRAMA],Tabla49[CÓDIGO],"")</f>
        <v>16915</v>
      </c>
      <c r="H303" s="10" t="s">
        <v>402</v>
      </c>
      <c r="I303" s="14" cm="1">
        <f t="array" ref="I303">+_xlfn.XLOOKUP(Tabla9[[#This Row],[ESPACIO ACADÉMICO DESTINO]]&amp;Tabla9[[#This Row],[PROGRAMA DESTINO]],Tabla49[ESPACIO ACADÉMICO DESTINO]&amp;Tabla49[PROGRAMA],Tabla49[CRÉDITOS],"")</f>
        <v>2</v>
      </c>
      <c r="J303" s="14">
        <v>4.5</v>
      </c>
      <c r="K303" s="10" t="s">
        <v>107</v>
      </c>
      <c r="X303" s="52" t="s">
        <v>116</v>
      </c>
      <c r="Y303" s="8">
        <v>73509</v>
      </c>
      <c r="Z303" s="8" t="s">
        <v>313</v>
      </c>
      <c r="AA303" s="8">
        <v>3</v>
      </c>
    </row>
    <row r="304" spans="3:27" ht="45" x14ac:dyDescent="0.25">
      <c r="C304" s="1" t="str">
        <f>_xlfn.XLOOKUP(Tabla9[[#This Row],[PROGRAMA ORIGEN]],PROGRAMAS_N[PROGRAMAS ORIGEN],PROGRAMAS_N[NIVEL],"")</f>
        <v>TECNÓLOGO</v>
      </c>
      <c r="D304" s="16" t="s">
        <v>197</v>
      </c>
      <c r="E304" s="14" t="s">
        <v>535</v>
      </c>
      <c r="F304" s="10" t="s">
        <v>536</v>
      </c>
      <c r="G304" s="10" cm="1">
        <f t="array" ref="G304">+_xlfn.XLOOKUP(Tabla9[[#This Row],[ESPACIO ACADÉMICO DESTINO]]&amp;Tabla9[[#This Row],[PROGRAMA DESTINO]],Tabla49[ESPACIO ACADÉMICO DESTINO]&amp;Tabla49[PROGRAMA],Tabla49[CÓDIGO],"")</f>
        <v>73623</v>
      </c>
      <c r="H304" s="10" t="s">
        <v>409</v>
      </c>
      <c r="I304" s="14" cm="1">
        <f t="array" ref="I304">+_xlfn.XLOOKUP(Tabla9[[#This Row],[ESPACIO ACADÉMICO DESTINO]]&amp;Tabla9[[#This Row],[PROGRAMA DESTINO]],Tabla49[ESPACIO ACADÉMICO DESTINO]&amp;Tabla49[PROGRAMA],Tabla49[CRÉDITOS],"")</f>
        <v>2</v>
      </c>
      <c r="J304" s="14">
        <v>4.5</v>
      </c>
      <c r="K304" s="10" t="s">
        <v>107</v>
      </c>
      <c r="X304" s="52" t="s">
        <v>116</v>
      </c>
      <c r="Y304" s="8">
        <v>16752</v>
      </c>
      <c r="Z304" s="8" t="s">
        <v>537</v>
      </c>
      <c r="AA304" s="8">
        <v>2</v>
      </c>
    </row>
    <row r="305" spans="3:27" ht="45" x14ac:dyDescent="0.25">
      <c r="C305" s="1" t="str">
        <f>_xlfn.XLOOKUP(Tabla9[[#This Row],[PROGRAMA ORIGEN]],PROGRAMAS_N[PROGRAMAS ORIGEN],PROGRAMAS_N[NIVEL],"")</f>
        <v>TECNÓLOGO</v>
      </c>
      <c r="D305" s="16" t="s">
        <v>197</v>
      </c>
      <c r="E305" s="14" t="s">
        <v>535</v>
      </c>
      <c r="F305" s="10" t="s">
        <v>538</v>
      </c>
      <c r="G305" s="10" cm="1">
        <f t="array" ref="G305">+_xlfn.XLOOKUP(Tabla9[[#This Row],[ESPACIO ACADÉMICO DESTINO]]&amp;Tabla9[[#This Row],[PROGRAMA DESTINO]],Tabla49[ESPACIO ACADÉMICO DESTINO]&amp;Tabla49[PROGRAMA],Tabla49[CÓDIGO],"")</f>
        <v>31038</v>
      </c>
      <c r="H305" s="10" t="s">
        <v>407</v>
      </c>
      <c r="I305" s="14" cm="1">
        <f t="array" ref="I305">+_xlfn.XLOOKUP(Tabla9[[#This Row],[ESPACIO ACADÉMICO DESTINO]]&amp;Tabla9[[#This Row],[PROGRAMA DESTINO]],Tabla49[ESPACIO ACADÉMICO DESTINO]&amp;Tabla49[PROGRAMA],Tabla49[CRÉDITOS],"")</f>
        <v>2</v>
      </c>
      <c r="J305" s="14">
        <v>4.5</v>
      </c>
      <c r="K305" s="10" t="s">
        <v>107</v>
      </c>
      <c r="X305" s="52" t="s">
        <v>116</v>
      </c>
      <c r="Y305" s="8">
        <v>16753</v>
      </c>
      <c r="Z305" s="8" t="s">
        <v>539</v>
      </c>
      <c r="AA305" s="8">
        <v>2</v>
      </c>
    </row>
    <row r="306" spans="3:27" ht="45" x14ac:dyDescent="0.25">
      <c r="C306" s="1" t="str">
        <f>_xlfn.XLOOKUP(Tabla9[[#This Row],[PROGRAMA ORIGEN]],PROGRAMAS_N[PROGRAMAS ORIGEN],PROGRAMAS_N[NIVEL],"")</f>
        <v>TECNÓLOGO</v>
      </c>
      <c r="D306" s="16" t="s">
        <v>197</v>
      </c>
      <c r="E306" s="14">
        <v>260101027</v>
      </c>
      <c r="F306" s="10" t="s">
        <v>519</v>
      </c>
      <c r="G306" s="10" t="str" cm="1">
        <f t="array" ref="G306">+_xlfn.XLOOKUP(Tabla9[[#This Row],[ESPACIO ACADÉMICO DESTINO]]&amp;Tabla9[[#This Row],[PROGRAMA DESTINO]],Tabla49[ESPACIO ACADÉMICO DESTINO]&amp;Tabla49[PROGRAMA],Tabla49[CÓDIGO],"")</f>
        <v/>
      </c>
      <c r="H306" s="10"/>
      <c r="I306" s="14" t="str" cm="1">
        <f t="array" ref="I306">+_xlfn.XLOOKUP(Tabla9[[#This Row],[ESPACIO ACADÉMICO DESTINO]]&amp;Tabla9[[#This Row],[PROGRAMA DESTINO]],Tabla49[ESPACIO ACADÉMICO DESTINO]&amp;Tabla49[PROGRAMA],Tabla49[CRÉDITOS],"")</f>
        <v/>
      </c>
      <c r="J306" s="14"/>
      <c r="K306" s="10" t="s">
        <v>107</v>
      </c>
      <c r="X306" s="52" t="s">
        <v>116</v>
      </c>
      <c r="Y306" s="8">
        <v>73510</v>
      </c>
      <c r="Z306" s="8" t="s">
        <v>540</v>
      </c>
      <c r="AA306" s="8">
        <v>2</v>
      </c>
    </row>
    <row r="307" spans="3:27" ht="45" x14ac:dyDescent="0.25">
      <c r="C307" s="1" t="str">
        <f>_xlfn.XLOOKUP(Tabla9[[#This Row],[PROGRAMA ORIGEN]],PROGRAMAS_N[PROGRAMAS ORIGEN],PROGRAMAS_N[NIVEL],"")</f>
        <v>TECNÓLOGO</v>
      </c>
      <c r="D307" s="16" t="s">
        <v>197</v>
      </c>
      <c r="E307" s="14">
        <v>280201060</v>
      </c>
      <c r="F307" s="10" t="s">
        <v>541</v>
      </c>
      <c r="G307" s="10" cm="1">
        <f t="array" ref="G307">+_xlfn.XLOOKUP(Tabla9[[#This Row],[ESPACIO ACADÉMICO DESTINO]]&amp;Tabla9[[#This Row],[PROGRAMA DESTINO]],Tabla49[ESPACIO ACADÉMICO DESTINO]&amp;Tabla49[PROGRAMA],Tabla49[CÓDIGO],"")</f>
        <v>73624</v>
      </c>
      <c r="H307" s="10" t="s">
        <v>153</v>
      </c>
      <c r="I307" s="14" cm="1">
        <f t="array" ref="I307">+_xlfn.XLOOKUP(Tabla9[[#This Row],[ESPACIO ACADÉMICO DESTINO]]&amp;Tabla9[[#This Row],[PROGRAMA DESTINO]],Tabla49[ESPACIO ACADÉMICO DESTINO]&amp;Tabla49[PROGRAMA],Tabla49[CRÉDITOS],"")</f>
        <v>2</v>
      </c>
      <c r="J307" s="14">
        <v>4.5</v>
      </c>
      <c r="K307" s="10" t="s">
        <v>107</v>
      </c>
      <c r="X307" s="52" t="s">
        <v>116</v>
      </c>
      <c r="Y307" s="8">
        <v>73511</v>
      </c>
      <c r="Z307" s="8" t="s">
        <v>542</v>
      </c>
      <c r="AA307" s="8">
        <v>3</v>
      </c>
    </row>
    <row r="308" spans="3:27" ht="45" x14ac:dyDescent="0.25">
      <c r="C308" s="1" t="str">
        <f>_xlfn.XLOOKUP(Tabla9[[#This Row],[PROGRAMA ORIGEN]],PROGRAMAS_N[PROGRAMAS ORIGEN],PROGRAMAS_N[NIVEL],"")</f>
        <v>TECNÓLOGO</v>
      </c>
      <c r="D308" s="16" t="s">
        <v>197</v>
      </c>
      <c r="E308" s="14">
        <v>210101001</v>
      </c>
      <c r="F308" s="10" t="s">
        <v>523</v>
      </c>
      <c r="G308" s="10" cm="1">
        <f t="array" ref="G308">+_xlfn.XLOOKUP(Tabla9[[#This Row],[ESPACIO ACADÉMICO DESTINO]]&amp;Tabla9[[#This Row],[PROGRAMA DESTINO]],Tabla49[ESPACIO ACADÉMICO DESTINO]&amp;Tabla49[PROGRAMA],Tabla49[CÓDIGO],"")</f>
        <v>73349</v>
      </c>
      <c r="H308" s="10" t="s">
        <v>408</v>
      </c>
      <c r="I308" s="14" cm="1">
        <f t="array" ref="I308">+_xlfn.XLOOKUP(Tabla9[[#This Row],[ESPACIO ACADÉMICO DESTINO]]&amp;Tabla9[[#This Row],[PROGRAMA DESTINO]],Tabla49[ESPACIO ACADÉMICO DESTINO]&amp;Tabla49[PROGRAMA],Tabla49[CRÉDITOS],"")</f>
        <v>2</v>
      </c>
      <c r="J308" s="14">
        <v>4.5</v>
      </c>
      <c r="K308" s="10" t="s">
        <v>107</v>
      </c>
      <c r="X308" s="52" t="s">
        <v>116</v>
      </c>
      <c r="Y308" s="8">
        <v>73512</v>
      </c>
      <c r="Z308" s="8" t="s">
        <v>543</v>
      </c>
      <c r="AA308" s="8">
        <v>3</v>
      </c>
    </row>
    <row r="309" spans="3:27" ht="45" x14ac:dyDescent="0.25">
      <c r="C309" s="1" t="str">
        <f>_xlfn.XLOOKUP(Tabla9[[#This Row],[PROGRAMA ORIGEN]],PROGRAMAS_N[PROGRAMAS ORIGEN],PROGRAMAS_N[NIVEL],"")</f>
        <v>TECNÓLOGO</v>
      </c>
      <c r="D309" s="16" t="s">
        <v>197</v>
      </c>
      <c r="E309" s="14">
        <v>260101027</v>
      </c>
      <c r="F309" s="10" t="s">
        <v>519</v>
      </c>
      <c r="G309" s="10" cm="1">
        <f t="array" ref="G309">+_xlfn.XLOOKUP(Tabla9[[#This Row],[ESPACIO ACADÉMICO DESTINO]]&amp;Tabla9[[#This Row],[PROGRAMA DESTINO]],Tabla49[ESPACIO ACADÉMICO DESTINO]&amp;Tabla49[PROGRAMA],Tabla49[CÓDIGO],"")</f>
        <v>73632</v>
      </c>
      <c r="H309" s="10" t="s">
        <v>431</v>
      </c>
      <c r="I309" s="14" cm="1">
        <f t="array" ref="I309">+_xlfn.XLOOKUP(Tabla9[[#This Row],[ESPACIO ACADÉMICO DESTINO]]&amp;Tabla9[[#This Row],[PROGRAMA DESTINO]],Tabla49[ESPACIO ACADÉMICO DESTINO]&amp;Tabla49[PROGRAMA],Tabla49[CRÉDITOS],"")</f>
        <v>3</v>
      </c>
      <c r="J309" s="14">
        <v>4.5</v>
      </c>
      <c r="K309" s="10" t="s">
        <v>107</v>
      </c>
      <c r="X309" s="52" t="s">
        <v>116</v>
      </c>
      <c r="Y309" s="8">
        <v>73513</v>
      </c>
      <c r="Z309" s="8" t="s">
        <v>544</v>
      </c>
      <c r="AA309" s="8">
        <v>3</v>
      </c>
    </row>
    <row r="310" spans="3:27" ht="45" x14ac:dyDescent="0.25">
      <c r="C310" s="1" t="str">
        <f>_xlfn.XLOOKUP(Tabla9[[#This Row],[PROGRAMA ORIGEN]],PROGRAMAS_N[PROGRAMAS ORIGEN],PROGRAMAS_N[NIVEL],"")</f>
        <v>TECNÓLOGO</v>
      </c>
      <c r="D310" s="16" t="s">
        <v>197</v>
      </c>
      <c r="E310" s="14" t="s">
        <v>535</v>
      </c>
      <c r="F310" s="10" t="s">
        <v>545</v>
      </c>
      <c r="G310" s="10" cm="1">
        <f t="array" ref="G310">+_xlfn.XLOOKUP(Tabla9[[#This Row],[ESPACIO ACADÉMICO DESTINO]]&amp;Tabla9[[#This Row],[PROGRAMA DESTINO]],Tabla49[ESPACIO ACADÉMICO DESTINO]&amp;Tabla49[PROGRAMA],Tabla49[CÓDIGO],"")</f>
        <v>73626</v>
      </c>
      <c r="H310" s="10" t="s">
        <v>546</v>
      </c>
      <c r="I310" s="14" cm="1">
        <f t="array" ref="I310">+_xlfn.XLOOKUP(Tabla9[[#This Row],[ESPACIO ACADÉMICO DESTINO]]&amp;Tabla9[[#This Row],[PROGRAMA DESTINO]],Tabla49[ESPACIO ACADÉMICO DESTINO]&amp;Tabla49[PROGRAMA],Tabla49[CRÉDITOS],"")</f>
        <v>3</v>
      </c>
      <c r="J310" s="14">
        <v>4.5</v>
      </c>
      <c r="K310" s="10" t="s">
        <v>107</v>
      </c>
      <c r="X310" s="52" t="s">
        <v>65</v>
      </c>
      <c r="Y310" s="8">
        <v>30377</v>
      </c>
      <c r="Z310" s="8" t="s">
        <v>547</v>
      </c>
      <c r="AA310" s="8">
        <v>2</v>
      </c>
    </row>
    <row r="311" spans="3:27" ht="45" x14ac:dyDescent="0.25">
      <c r="C311" s="1" t="str">
        <f>_xlfn.XLOOKUP(Tabla9[[#This Row],[PROGRAMA ORIGEN]],PROGRAMAS_N[PROGRAMAS ORIGEN],PROGRAMAS_N[NIVEL],"")</f>
        <v>TECNÓLOGO</v>
      </c>
      <c r="D311" s="16" t="s">
        <v>197</v>
      </c>
      <c r="E311" s="14">
        <v>291201029</v>
      </c>
      <c r="F311" s="10" t="s">
        <v>548</v>
      </c>
      <c r="G311" s="10" t="str" cm="1">
        <f t="array" ref="G311">+_xlfn.XLOOKUP(Tabla9[[#This Row],[ESPACIO ACADÉMICO DESTINO]]&amp;Tabla9[[#This Row],[PROGRAMA DESTINO]],Tabla49[ESPACIO ACADÉMICO DESTINO]&amp;Tabla49[PROGRAMA],Tabla49[CÓDIGO],"")</f>
        <v/>
      </c>
      <c r="H311" s="10"/>
      <c r="I311" s="14" t="str" cm="1">
        <f t="array" ref="I311">+_xlfn.XLOOKUP(Tabla9[[#This Row],[ESPACIO ACADÉMICO DESTINO]]&amp;Tabla9[[#This Row],[PROGRAMA DESTINO]],Tabla49[ESPACIO ACADÉMICO DESTINO]&amp;Tabla49[PROGRAMA],Tabla49[CRÉDITOS],"")</f>
        <v/>
      </c>
      <c r="J311" s="14"/>
      <c r="K311" s="10" t="s">
        <v>107</v>
      </c>
      <c r="X311" s="52" t="s">
        <v>65</v>
      </c>
      <c r="Y311" s="8">
        <v>30521</v>
      </c>
      <c r="Z311" s="8" t="s">
        <v>66</v>
      </c>
      <c r="AA311" s="8">
        <v>2</v>
      </c>
    </row>
    <row r="312" spans="3:27" ht="45" x14ac:dyDescent="0.25">
      <c r="C312" s="1" t="str">
        <f>_xlfn.XLOOKUP(Tabla9[[#This Row],[PROGRAMA ORIGEN]],PROGRAMAS_N[PROGRAMAS ORIGEN],PROGRAMAS_N[NIVEL],"")</f>
        <v>TECNÓLOGO</v>
      </c>
      <c r="D312" s="16" t="s">
        <v>197</v>
      </c>
      <c r="E312" s="14">
        <v>210101064</v>
      </c>
      <c r="F312" s="10" t="s">
        <v>549</v>
      </c>
      <c r="G312" s="10" cm="1">
        <f t="array" ref="G312">+_xlfn.XLOOKUP(Tabla9[[#This Row],[ESPACIO ACADÉMICO DESTINO]]&amp;Tabla9[[#This Row],[PROGRAMA DESTINO]],Tabla49[ESPACIO ACADÉMICO DESTINO]&amp;Tabla49[PROGRAMA],Tabla49[CÓDIGO],"")</f>
        <v>73629</v>
      </c>
      <c r="H312" s="10" t="s">
        <v>425</v>
      </c>
      <c r="I312" s="14" cm="1">
        <f t="array" ref="I312">+_xlfn.XLOOKUP(Tabla9[[#This Row],[ESPACIO ACADÉMICO DESTINO]]&amp;Tabla9[[#This Row],[PROGRAMA DESTINO]],Tabla49[ESPACIO ACADÉMICO DESTINO]&amp;Tabla49[PROGRAMA],Tabla49[CRÉDITOS],"")</f>
        <v>2</v>
      </c>
      <c r="J312" s="14">
        <v>4.5</v>
      </c>
      <c r="K312" s="10" t="s">
        <v>107</v>
      </c>
      <c r="X312" s="52" t="s">
        <v>65</v>
      </c>
      <c r="Y312" s="8">
        <v>30378</v>
      </c>
      <c r="Z312" s="8" t="s">
        <v>56</v>
      </c>
      <c r="AA312" s="8">
        <v>2</v>
      </c>
    </row>
    <row r="313" spans="3:27" ht="45" x14ac:dyDescent="0.25">
      <c r="C313" s="1" t="str">
        <f>_xlfn.XLOOKUP(Tabla9[[#This Row],[PROGRAMA ORIGEN]],PROGRAMAS_N[PROGRAMAS ORIGEN],PROGRAMAS_N[NIVEL],"")</f>
        <v>TECNÓLOGO</v>
      </c>
      <c r="D313" s="16" t="s">
        <v>197</v>
      </c>
      <c r="E313" s="14">
        <v>210101024</v>
      </c>
      <c r="F313" s="10" t="s">
        <v>528</v>
      </c>
      <c r="G313" s="10" t="str" cm="1">
        <f t="array" ref="G313">+_xlfn.XLOOKUP(Tabla9[[#This Row],[ESPACIO ACADÉMICO DESTINO]]&amp;Tabla9[[#This Row],[PROGRAMA DESTINO]],Tabla49[ESPACIO ACADÉMICO DESTINO]&amp;Tabla49[PROGRAMA],Tabla49[CÓDIGO],"")</f>
        <v/>
      </c>
      <c r="H313" s="10"/>
      <c r="I313" s="14" t="str" cm="1">
        <f t="array" ref="I313">+_xlfn.XLOOKUP(Tabla9[[#This Row],[ESPACIO ACADÉMICO DESTINO]]&amp;Tabla9[[#This Row],[PROGRAMA DESTINO]],Tabla49[ESPACIO ACADÉMICO DESTINO]&amp;Tabla49[PROGRAMA],Tabla49[CRÉDITOS],"")</f>
        <v/>
      </c>
      <c r="J313" s="14"/>
      <c r="K313" s="10" t="s">
        <v>107</v>
      </c>
      <c r="X313" s="52" t="s">
        <v>65</v>
      </c>
      <c r="Y313" s="8">
        <v>30527</v>
      </c>
      <c r="Z313" s="8" t="s">
        <v>101</v>
      </c>
      <c r="AA313" s="8">
        <v>2</v>
      </c>
    </row>
    <row r="314" spans="3:27" ht="45" x14ac:dyDescent="0.25">
      <c r="C314" s="1" t="str">
        <f>_xlfn.XLOOKUP(Tabla9[[#This Row],[PROGRAMA ORIGEN]],PROGRAMAS_N[PROGRAMAS ORIGEN],PROGRAMAS_N[NIVEL],"")</f>
        <v>TECNÓLOGO</v>
      </c>
      <c r="D314" s="16" t="s">
        <v>106</v>
      </c>
      <c r="E314" s="14">
        <v>210101031</v>
      </c>
      <c r="F314" s="10" t="s">
        <v>504</v>
      </c>
      <c r="G314" s="10" cm="1">
        <f t="array" ref="G314">+_xlfn.XLOOKUP(Tabla9[[#This Row],[ESPACIO ACADÉMICO DESTINO]]&amp;Tabla9[[#This Row],[PROGRAMA DESTINO]],Tabla49[ESPACIO ACADÉMICO DESTINO]&amp;Tabla49[PROGRAMA],Tabla49[CÓDIGO],"")</f>
        <v>73619</v>
      </c>
      <c r="H314" s="10" t="s">
        <v>395</v>
      </c>
      <c r="I314" s="14" cm="1">
        <f t="array" ref="I314">+_xlfn.XLOOKUP(Tabla9[[#This Row],[ESPACIO ACADÉMICO DESTINO]]&amp;Tabla9[[#This Row],[PROGRAMA DESTINO]],Tabla49[ESPACIO ACADÉMICO DESTINO]&amp;Tabla49[PROGRAMA],Tabla49[CRÉDITOS],"")</f>
        <v>2</v>
      </c>
      <c r="J314" s="14">
        <v>4.5</v>
      </c>
      <c r="K314" s="10" t="s">
        <v>107</v>
      </c>
      <c r="X314" s="52" t="s">
        <v>65</v>
      </c>
      <c r="Y314" s="8">
        <v>30379</v>
      </c>
      <c r="Z314" s="8" t="s">
        <v>94</v>
      </c>
      <c r="AA314" s="8">
        <v>3</v>
      </c>
    </row>
    <row r="315" spans="3:27" ht="45" x14ac:dyDescent="0.25">
      <c r="C315" s="1" t="str">
        <f>_xlfn.XLOOKUP(Tabla9[[#This Row],[PROGRAMA ORIGEN]],PROGRAMAS_N[PROGRAMAS ORIGEN],PROGRAMAS_N[NIVEL],"")</f>
        <v>TECNÓLOGO</v>
      </c>
      <c r="D315" s="16" t="s">
        <v>106</v>
      </c>
      <c r="E315" s="14">
        <v>240201500</v>
      </c>
      <c r="F315" s="10" t="s">
        <v>508</v>
      </c>
      <c r="G315" s="10" cm="1">
        <f t="array" ref="G315">+_xlfn.XLOOKUP(Tabla9[[#This Row],[ESPACIO ACADÉMICO DESTINO]]&amp;Tabla9[[#This Row],[PROGRAMA DESTINO]],Tabla49[ESPACIO ACADÉMICO DESTINO]&amp;Tabla49[PROGRAMA],Tabla49[CÓDIGO],"")</f>
        <v>15135</v>
      </c>
      <c r="H315" s="10" t="s">
        <v>56</v>
      </c>
      <c r="I315" s="14" cm="1">
        <f t="array" ref="I315">+_xlfn.XLOOKUP(Tabla9[[#This Row],[ESPACIO ACADÉMICO DESTINO]]&amp;Tabla9[[#This Row],[PROGRAMA DESTINO]],Tabla49[ESPACIO ACADÉMICO DESTINO]&amp;Tabla49[PROGRAMA],Tabla49[CRÉDITOS],"")</f>
        <v>2</v>
      </c>
      <c r="J315" s="14">
        <v>4.5</v>
      </c>
      <c r="K315" s="10" t="s">
        <v>107</v>
      </c>
      <c r="X315" s="52" t="s">
        <v>65</v>
      </c>
      <c r="Y315" s="8">
        <v>30380</v>
      </c>
      <c r="Z315" s="8" t="s">
        <v>550</v>
      </c>
      <c r="AA315" s="8">
        <v>3</v>
      </c>
    </row>
    <row r="316" spans="3:27" ht="45" x14ac:dyDescent="0.25">
      <c r="C316" s="1" t="str">
        <f>_xlfn.XLOOKUP(Tabla9[[#This Row],[PROGRAMA ORIGEN]],PROGRAMAS_N[PROGRAMAS ORIGEN],PROGRAMAS_N[NIVEL],"")</f>
        <v>TECNÓLOGO</v>
      </c>
      <c r="D316" s="16" t="s">
        <v>106</v>
      </c>
      <c r="E316" s="14">
        <v>260101021</v>
      </c>
      <c r="F316" s="10" t="s">
        <v>551</v>
      </c>
      <c r="G316" s="10" cm="1">
        <f t="array" ref="G316">+_xlfn.XLOOKUP(Tabla9[[#This Row],[ESPACIO ACADÉMICO DESTINO]]&amp;Tabla9[[#This Row],[PROGRAMA DESTINO]],Tabla49[ESPACIO ACADÉMICO DESTINO]&amp;Tabla49[PROGRAMA],Tabla49[CÓDIGO],"")</f>
        <v>16690</v>
      </c>
      <c r="H316" s="10" t="s">
        <v>391</v>
      </c>
      <c r="I316" s="14" cm="1">
        <f t="array" ref="I316">+_xlfn.XLOOKUP(Tabla9[[#This Row],[ESPACIO ACADÉMICO DESTINO]]&amp;Tabla9[[#This Row],[PROGRAMA DESTINO]],Tabla49[ESPACIO ACADÉMICO DESTINO]&amp;Tabla49[PROGRAMA],Tabla49[CRÉDITOS],"")</f>
        <v>2</v>
      </c>
      <c r="J316" s="14">
        <v>4.5</v>
      </c>
      <c r="K316" s="10" t="s">
        <v>107</v>
      </c>
      <c r="X316" s="52" t="s">
        <v>65</v>
      </c>
      <c r="Y316" s="8">
        <v>30381</v>
      </c>
      <c r="Z316" s="8" t="s">
        <v>552</v>
      </c>
      <c r="AA316" s="8">
        <v>3</v>
      </c>
    </row>
    <row r="317" spans="3:27" ht="45" x14ac:dyDescent="0.25">
      <c r="C317" s="1" t="str">
        <f>_xlfn.XLOOKUP(Tabla9[[#This Row],[PROGRAMA ORIGEN]],PROGRAMAS_N[PROGRAMAS ORIGEN],PROGRAMAS_N[NIVEL],"")</f>
        <v>TECNÓLOGO</v>
      </c>
      <c r="D317" s="16" t="s">
        <v>106</v>
      </c>
      <c r="E317" s="14">
        <v>210101008</v>
      </c>
      <c r="F317" s="10" t="s">
        <v>521</v>
      </c>
      <c r="G317" s="10" cm="1">
        <f t="array" ref="G317">+_xlfn.XLOOKUP(Tabla9[[#This Row],[ESPACIO ACADÉMICO DESTINO]]&amp;Tabla9[[#This Row],[PROGRAMA DESTINO]],Tabla49[ESPACIO ACADÉMICO DESTINO]&amp;Tabla49[PROGRAMA],Tabla49[CÓDIGO],"")</f>
        <v>73621</v>
      </c>
      <c r="H317" s="10" t="s">
        <v>400</v>
      </c>
      <c r="I317" s="14" cm="1">
        <f t="array" ref="I317">+_xlfn.XLOOKUP(Tabla9[[#This Row],[ESPACIO ACADÉMICO DESTINO]]&amp;Tabla9[[#This Row],[PROGRAMA DESTINO]],Tabla49[ESPACIO ACADÉMICO DESTINO]&amp;Tabla49[PROGRAMA],Tabla49[CRÉDITOS],"")</f>
        <v>2</v>
      </c>
      <c r="J317" s="14">
        <v>4.5</v>
      </c>
      <c r="K317" s="10" t="s">
        <v>107</v>
      </c>
      <c r="X317" s="52" t="s">
        <v>65</v>
      </c>
      <c r="Y317" s="8">
        <v>30382</v>
      </c>
      <c r="Z317" s="8" t="s">
        <v>553</v>
      </c>
      <c r="AA317" s="8">
        <v>2</v>
      </c>
    </row>
    <row r="318" spans="3:27" ht="45" x14ac:dyDescent="0.25">
      <c r="C318" s="1" t="str">
        <f>_xlfn.XLOOKUP(Tabla9[[#This Row],[PROGRAMA ORIGEN]],PROGRAMAS_N[PROGRAMAS ORIGEN],PROGRAMAS_N[NIVEL],"")</f>
        <v>TECNÓLOGO</v>
      </c>
      <c r="D318" s="16" t="s">
        <v>106</v>
      </c>
      <c r="E318" s="14">
        <v>210101013</v>
      </c>
      <c r="F318" s="10" t="s">
        <v>517</v>
      </c>
      <c r="G318" s="10" cm="1">
        <f t="array" ref="G318">+_xlfn.XLOOKUP(Tabla9[[#This Row],[ESPACIO ACADÉMICO DESTINO]]&amp;Tabla9[[#This Row],[PROGRAMA DESTINO]],Tabla49[ESPACIO ACADÉMICO DESTINO]&amp;Tabla49[PROGRAMA],Tabla49[CÓDIGO],"")</f>
        <v>31038</v>
      </c>
      <c r="H318" s="10" t="s">
        <v>407</v>
      </c>
      <c r="I318" s="14" cm="1">
        <f t="array" ref="I318">+_xlfn.XLOOKUP(Tabla9[[#This Row],[ESPACIO ACADÉMICO DESTINO]]&amp;Tabla9[[#This Row],[PROGRAMA DESTINO]],Tabla49[ESPACIO ACADÉMICO DESTINO]&amp;Tabla49[PROGRAMA],Tabla49[CRÉDITOS],"")</f>
        <v>2</v>
      </c>
      <c r="J318" s="14">
        <v>4.5</v>
      </c>
      <c r="K318" s="10" t="s">
        <v>107</v>
      </c>
      <c r="X318" s="52" t="s">
        <v>65</v>
      </c>
      <c r="Y318" s="8">
        <v>30522</v>
      </c>
      <c r="Z318" s="8" t="s">
        <v>108</v>
      </c>
      <c r="AA318" s="8">
        <v>2</v>
      </c>
    </row>
    <row r="319" spans="3:27" ht="45" x14ac:dyDescent="0.25">
      <c r="C319" s="1" t="str">
        <f>_xlfn.XLOOKUP(Tabla9[[#This Row],[PROGRAMA ORIGEN]],PROGRAMAS_N[PROGRAMAS ORIGEN],PROGRAMAS_N[NIVEL],"")</f>
        <v>TECNÓLOGO</v>
      </c>
      <c r="D319" s="16" t="s">
        <v>106</v>
      </c>
      <c r="E319" s="14">
        <v>210101008</v>
      </c>
      <c r="F319" s="10" t="s">
        <v>521</v>
      </c>
      <c r="G319" s="10" cm="1">
        <f t="array" ref="G319">+_xlfn.XLOOKUP(Tabla9[[#This Row],[ESPACIO ACADÉMICO DESTINO]]&amp;Tabla9[[#This Row],[PROGRAMA DESTINO]],Tabla49[ESPACIO ACADÉMICO DESTINO]&amp;Tabla49[PROGRAMA],Tabla49[CÓDIGO],"")</f>
        <v>73624</v>
      </c>
      <c r="H319" s="10" t="s">
        <v>153</v>
      </c>
      <c r="I319" s="14" cm="1">
        <f t="array" ref="I319">+_xlfn.XLOOKUP(Tabla9[[#This Row],[ESPACIO ACADÉMICO DESTINO]]&amp;Tabla9[[#This Row],[PROGRAMA DESTINO]],Tabla49[ESPACIO ACADÉMICO DESTINO]&amp;Tabla49[PROGRAMA],Tabla49[CRÉDITOS],"")</f>
        <v>2</v>
      </c>
      <c r="J319" s="14">
        <v>4.5</v>
      </c>
      <c r="K319" s="10" t="s">
        <v>107</v>
      </c>
      <c r="X319" s="52" t="s">
        <v>65</v>
      </c>
      <c r="Y319" s="8">
        <v>30528</v>
      </c>
      <c r="Z319" s="8" t="s">
        <v>136</v>
      </c>
      <c r="AA319" s="8">
        <v>2</v>
      </c>
    </row>
    <row r="320" spans="3:27" ht="45" x14ac:dyDescent="0.25">
      <c r="C320" s="1" t="str">
        <f>_xlfn.XLOOKUP(Tabla9[[#This Row],[PROGRAMA ORIGEN]],PROGRAMAS_N[PROGRAMAS ORIGEN],PROGRAMAS_N[NIVEL],"")</f>
        <v>TECNÓLOGO</v>
      </c>
      <c r="D320" s="16" t="s">
        <v>106</v>
      </c>
      <c r="E320" s="14">
        <v>260101014</v>
      </c>
      <c r="F320" s="10" t="s">
        <v>554</v>
      </c>
      <c r="G320" s="10" cm="1">
        <f t="array" ref="G320">+_xlfn.XLOOKUP(Tabla9[[#This Row],[ESPACIO ACADÉMICO DESTINO]]&amp;Tabla9[[#This Row],[PROGRAMA DESTINO]],Tabla49[ESPACIO ACADÉMICO DESTINO]&amp;Tabla49[PROGRAMA],Tabla49[CÓDIGO],"")</f>
        <v>73623</v>
      </c>
      <c r="H320" s="10" t="s">
        <v>409</v>
      </c>
      <c r="I320" s="14" cm="1">
        <f t="array" ref="I320">+_xlfn.XLOOKUP(Tabla9[[#This Row],[ESPACIO ACADÉMICO DESTINO]]&amp;Tabla9[[#This Row],[PROGRAMA DESTINO]],Tabla49[ESPACIO ACADÉMICO DESTINO]&amp;Tabla49[PROGRAMA],Tabla49[CRÉDITOS],"")</f>
        <v>2</v>
      </c>
      <c r="J320" s="14">
        <v>4.5</v>
      </c>
      <c r="K320" s="10" t="s">
        <v>107</v>
      </c>
      <c r="X320" s="52" t="s">
        <v>65</v>
      </c>
      <c r="Y320" s="8">
        <v>30383</v>
      </c>
      <c r="Z320" s="8" t="s">
        <v>555</v>
      </c>
      <c r="AA320" s="8">
        <v>3</v>
      </c>
    </row>
    <row r="321" spans="3:27" ht="45" x14ac:dyDescent="0.25">
      <c r="C321" s="1" t="str">
        <f>_xlfn.XLOOKUP(Tabla9[[#This Row],[PROGRAMA ORIGEN]],PROGRAMAS_N[PROGRAMAS ORIGEN],PROGRAMAS_N[NIVEL],"")</f>
        <v>TECNÓLOGO</v>
      </c>
      <c r="D321" s="16" t="s">
        <v>106</v>
      </c>
      <c r="E321" s="14">
        <v>260101034</v>
      </c>
      <c r="F321" s="10" t="s">
        <v>556</v>
      </c>
      <c r="G321" s="10" t="str" cm="1">
        <f t="array" ref="G321">+_xlfn.XLOOKUP(Tabla9[[#This Row],[ESPACIO ACADÉMICO DESTINO]]&amp;Tabla9[[#This Row],[PROGRAMA DESTINO]],Tabla49[ESPACIO ACADÉMICO DESTINO]&amp;Tabla49[PROGRAMA],Tabla49[CÓDIGO],"")</f>
        <v/>
      </c>
      <c r="H321" s="10"/>
      <c r="I321" s="14" t="str" cm="1">
        <f t="array" ref="I321">+_xlfn.XLOOKUP(Tabla9[[#This Row],[ESPACIO ACADÉMICO DESTINO]]&amp;Tabla9[[#This Row],[PROGRAMA DESTINO]],Tabla49[ESPACIO ACADÉMICO DESTINO]&amp;Tabla49[PROGRAMA],Tabla49[CRÉDITOS],"")</f>
        <v/>
      </c>
      <c r="J321" s="14"/>
      <c r="K321" s="10" t="s">
        <v>107</v>
      </c>
      <c r="X321" s="52" t="s">
        <v>65</v>
      </c>
      <c r="Y321" s="8">
        <v>30384</v>
      </c>
      <c r="Z321" s="8" t="s">
        <v>143</v>
      </c>
      <c r="AA321" s="8">
        <v>2</v>
      </c>
    </row>
    <row r="322" spans="3:27" ht="45" x14ac:dyDescent="0.25">
      <c r="C322" s="1" t="str">
        <f>_xlfn.XLOOKUP(Tabla9[[#This Row],[PROGRAMA ORIGEN]],PROGRAMAS_N[PROGRAMAS ORIGEN],PROGRAMAS_N[NIVEL],"")</f>
        <v>TECNÓLOGO</v>
      </c>
      <c r="D322" s="16" t="s">
        <v>106</v>
      </c>
      <c r="E322" s="14">
        <v>270412020</v>
      </c>
      <c r="F322" s="10" t="s">
        <v>557</v>
      </c>
      <c r="G322" s="10" cm="1">
        <f t="array" ref="G322">+_xlfn.XLOOKUP(Tabla9[[#This Row],[ESPACIO ACADÉMICO DESTINO]]&amp;Tabla9[[#This Row],[PROGRAMA DESTINO]],Tabla49[ESPACIO ACADÉMICO DESTINO]&amp;Tabla49[PROGRAMA],Tabla49[CÓDIGO],"")</f>
        <v>73349</v>
      </c>
      <c r="H322" s="10" t="s">
        <v>408</v>
      </c>
      <c r="I322" s="14" cm="1">
        <f t="array" ref="I322">+_xlfn.XLOOKUP(Tabla9[[#This Row],[ESPACIO ACADÉMICO DESTINO]]&amp;Tabla9[[#This Row],[PROGRAMA DESTINO]],Tabla49[ESPACIO ACADÉMICO DESTINO]&amp;Tabla49[PROGRAMA],Tabla49[CRÉDITOS],"")</f>
        <v>2</v>
      </c>
      <c r="J322" s="14">
        <v>4.5</v>
      </c>
      <c r="K322" s="10" t="s">
        <v>107</v>
      </c>
      <c r="X322" s="52" t="s">
        <v>65</v>
      </c>
      <c r="Y322" s="8">
        <v>30385</v>
      </c>
      <c r="Z322" s="8" t="s">
        <v>558</v>
      </c>
      <c r="AA322" s="8">
        <v>3</v>
      </c>
    </row>
    <row r="323" spans="3:27" ht="45" x14ac:dyDescent="0.25">
      <c r="C323" s="1" t="str">
        <f>_xlfn.XLOOKUP(Tabla9[[#This Row],[PROGRAMA ORIGEN]],PROGRAMAS_N[PROGRAMAS ORIGEN],PROGRAMAS_N[NIVEL],"")</f>
        <v>TECNÓLOGO</v>
      </c>
      <c r="D323" s="16" t="s">
        <v>106</v>
      </c>
      <c r="E323" s="14">
        <v>260101001</v>
      </c>
      <c r="F323" s="10" t="s">
        <v>559</v>
      </c>
      <c r="G323" s="10" t="str" cm="1">
        <f t="array" ref="G323">+_xlfn.XLOOKUP(Tabla9[[#This Row],[ESPACIO ACADÉMICO DESTINO]]&amp;Tabla9[[#This Row],[PROGRAMA DESTINO]],Tabla49[ESPACIO ACADÉMICO DESTINO]&amp;Tabla49[PROGRAMA],Tabla49[CÓDIGO],"")</f>
        <v/>
      </c>
      <c r="H323" s="10"/>
      <c r="I323" s="14" t="str" cm="1">
        <f t="array" ref="I323">+_xlfn.XLOOKUP(Tabla9[[#This Row],[ESPACIO ACADÉMICO DESTINO]]&amp;Tabla9[[#This Row],[PROGRAMA DESTINO]],Tabla49[ESPACIO ACADÉMICO DESTINO]&amp;Tabla49[PROGRAMA],Tabla49[CRÉDITOS],"")</f>
        <v/>
      </c>
      <c r="J323" s="14"/>
      <c r="K323" s="10" t="s">
        <v>107</v>
      </c>
      <c r="X323" s="52" t="s">
        <v>65</v>
      </c>
      <c r="Y323" s="8">
        <v>30386</v>
      </c>
      <c r="Z323" s="8" t="s">
        <v>237</v>
      </c>
      <c r="AA323" s="8">
        <v>3</v>
      </c>
    </row>
    <row r="324" spans="3:27" ht="45" x14ac:dyDescent="0.25">
      <c r="C324" s="1" t="str">
        <f>_xlfn.XLOOKUP(Tabla9[[#This Row],[PROGRAMA ORIGEN]],PROGRAMAS_N[PROGRAMAS ORIGEN],PROGRAMAS_N[NIVEL],"")</f>
        <v>TECNÓLOGO</v>
      </c>
      <c r="D324" s="16" t="s">
        <v>106</v>
      </c>
      <c r="E324" s="14">
        <v>260101044</v>
      </c>
      <c r="F324" s="10" t="s">
        <v>560</v>
      </c>
      <c r="G324" s="10" cm="1">
        <f t="array" ref="G324">+_xlfn.XLOOKUP(Tabla9[[#This Row],[ESPACIO ACADÉMICO DESTINO]]&amp;Tabla9[[#This Row],[PROGRAMA DESTINO]],Tabla49[ESPACIO ACADÉMICO DESTINO]&amp;Tabla49[PROGRAMA],Tabla49[CÓDIGO],"")</f>
        <v>73627</v>
      </c>
      <c r="H324" s="10" t="s">
        <v>421</v>
      </c>
      <c r="I324" s="14" cm="1">
        <f t="array" ref="I324">+_xlfn.XLOOKUP(Tabla9[[#This Row],[ESPACIO ACADÉMICO DESTINO]]&amp;Tabla9[[#This Row],[PROGRAMA DESTINO]],Tabla49[ESPACIO ACADÉMICO DESTINO]&amp;Tabla49[PROGRAMA],Tabla49[CRÉDITOS],"")</f>
        <v>3</v>
      </c>
      <c r="J324" s="14">
        <v>4.5</v>
      </c>
      <c r="K324" s="10" t="s">
        <v>107</v>
      </c>
      <c r="X324" s="52" t="s">
        <v>65</v>
      </c>
      <c r="Y324" s="8">
        <v>30387</v>
      </c>
      <c r="Z324" s="8" t="s">
        <v>407</v>
      </c>
      <c r="AA324" s="8">
        <v>2</v>
      </c>
    </row>
    <row r="325" spans="3:27" ht="45" x14ac:dyDescent="0.25">
      <c r="C325" s="1" t="str">
        <f>_xlfn.XLOOKUP(Tabla9[[#This Row],[PROGRAMA ORIGEN]],PROGRAMAS_N[PROGRAMAS ORIGEN],PROGRAMAS_N[NIVEL],"")</f>
        <v>TECNÓLOGO</v>
      </c>
      <c r="D325" s="16" t="s">
        <v>106</v>
      </c>
      <c r="E325" s="14">
        <v>220201004</v>
      </c>
      <c r="F325" s="10" t="s">
        <v>187</v>
      </c>
      <c r="G325" s="10" cm="1">
        <f t="array" ref="G325">+_xlfn.XLOOKUP(Tabla9[[#This Row],[ESPACIO ACADÉMICO DESTINO]]&amp;Tabla9[[#This Row],[PROGRAMA DESTINO]],Tabla49[ESPACIO ACADÉMICO DESTINO]&amp;Tabla49[PROGRAMA],Tabla49[CÓDIGO],"")</f>
        <v>73631</v>
      </c>
      <c r="H325" s="10" t="s">
        <v>561</v>
      </c>
      <c r="I325" s="14" cm="1">
        <f t="array" ref="I325">+_xlfn.XLOOKUP(Tabla9[[#This Row],[ESPACIO ACADÉMICO DESTINO]]&amp;Tabla9[[#This Row],[PROGRAMA DESTINO]],Tabla49[ESPACIO ACADÉMICO DESTINO]&amp;Tabla49[PROGRAMA],Tabla49[CRÉDITOS],"")</f>
        <v>3</v>
      </c>
      <c r="J325" s="14">
        <v>4.5</v>
      </c>
      <c r="K325" s="10" t="s">
        <v>107</v>
      </c>
      <c r="X325" s="52" t="s">
        <v>65</v>
      </c>
      <c r="Y325" s="8">
        <v>30523</v>
      </c>
      <c r="Z325" s="8" t="s">
        <v>139</v>
      </c>
      <c r="AA325" s="8">
        <v>2</v>
      </c>
    </row>
    <row r="326" spans="3:27" ht="45" x14ac:dyDescent="0.25">
      <c r="C326" s="1" t="str">
        <f>_xlfn.XLOOKUP(Tabla9[[#This Row],[PROGRAMA ORIGEN]],PROGRAMAS_N[PROGRAMAS ORIGEN],PROGRAMAS_N[NIVEL],"")</f>
        <v>TECNÓLOGO</v>
      </c>
      <c r="D326" s="16" t="s">
        <v>106</v>
      </c>
      <c r="E326" s="14">
        <v>210101024</v>
      </c>
      <c r="F326" s="10" t="s">
        <v>528</v>
      </c>
      <c r="G326" s="10" cm="1">
        <f t="array" ref="G326">+_xlfn.XLOOKUP(Tabla9[[#This Row],[ESPACIO ACADÉMICO DESTINO]]&amp;Tabla9[[#This Row],[PROGRAMA DESTINO]],Tabla49[ESPACIO ACADÉMICO DESTINO]&amp;Tabla49[PROGRAMA],Tabla49[CÓDIGO],"")</f>
        <v>73639</v>
      </c>
      <c r="H326" s="10" t="s">
        <v>441</v>
      </c>
      <c r="I326" s="14" cm="1">
        <f t="array" ref="I326">+_xlfn.XLOOKUP(Tabla9[[#This Row],[ESPACIO ACADÉMICO DESTINO]]&amp;Tabla9[[#This Row],[PROGRAMA DESTINO]],Tabla49[ESPACIO ACADÉMICO DESTINO]&amp;Tabla49[PROGRAMA],Tabla49[CRÉDITOS],"")</f>
        <v>2</v>
      </c>
      <c r="J326" s="14">
        <v>4.5</v>
      </c>
      <c r="K326" s="10" t="s">
        <v>107</v>
      </c>
      <c r="X326" s="52" t="s">
        <v>65</v>
      </c>
      <c r="Y326" s="8">
        <v>30529</v>
      </c>
      <c r="Z326" s="8" t="s">
        <v>160</v>
      </c>
      <c r="AA326" s="8">
        <v>2</v>
      </c>
    </row>
    <row r="327" spans="3:27" ht="45" x14ac:dyDescent="0.25">
      <c r="C327" s="1" t="str">
        <f>_xlfn.XLOOKUP(Tabla9[[#This Row],[PROGRAMA ORIGEN]],PROGRAMAS_N[PROGRAMAS ORIGEN],PROGRAMAS_N[NIVEL],"")</f>
        <v>TECNÓLOGO</v>
      </c>
      <c r="D327" s="16" t="s">
        <v>106</v>
      </c>
      <c r="E327" s="14">
        <v>210101021</v>
      </c>
      <c r="F327" s="10" t="s">
        <v>530</v>
      </c>
      <c r="G327" s="10" cm="1">
        <f t="array" ref="G327">+_xlfn.XLOOKUP(Tabla9[[#This Row],[ESPACIO ACADÉMICO DESTINO]]&amp;Tabla9[[#This Row],[PROGRAMA DESTINO]],Tabla49[ESPACIO ACADÉMICO DESTINO]&amp;Tabla49[PROGRAMA],Tabla49[CÓDIGO],"")</f>
        <v>73643</v>
      </c>
      <c r="H327" s="10" t="s">
        <v>446</v>
      </c>
      <c r="I327" s="14" cm="1">
        <f t="array" ref="I327">+_xlfn.XLOOKUP(Tabla9[[#This Row],[ESPACIO ACADÉMICO DESTINO]]&amp;Tabla9[[#This Row],[PROGRAMA DESTINO]],Tabla49[ESPACIO ACADÉMICO DESTINO]&amp;Tabla49[PROGRAMA],Tabla49[CRÉDITOS],"")</f>
        <v>2</v>
      </c>
      <c r="J327" s="14">
        <v>4.5</v>
      </c>
      <c r="K327" s="10" t="s">
        <v>107</v>
      </c>
      <c r="X327" s="52" t="s">
        <v>65</v>
      </c>
      <c r="Y327" s="8">
        <v>30388</v>
      </c>
      <c r="Z327" s="8" t="s">
        <v>562</v>
      </c>
      <c r="AA327" s="8">
        <v>3</v>
      </c>
    </row>
    <row r="328" spans="3:27" ht="45" x14ac:dyDescent="0.25">
      <c r="C328" s="1" t="str">
        <f>_xlfn.XLOOKUP(Tabla9[[#This Row],[PROGRAMA ORIGEN]],PROGRAMAS_N[PROGRAMAS ORIGEN],PROGRAMAS_N[NIVEL],"")</f>
        <v>TECNÓLOGO</v>
      </c>
      <c r="D328" s="16" t="s">
        <v>199</v>
      </c>
      <c r="E328" s="14">
        <v>240201500</v>
      </c>
      <c r="F328" s="10" t="s">
        <v>508</v>
      </c>
      <c r="G328" s="10" cm="1">
        <f t="array" ref="G328">+_xlfn.XLOOKUP(Tabla9[[#This Row],[ESPACIO ACADÉMICO DESTINO]]&amp;Tabla9[[#This Row],[PROGRAMA DESTINO]],Tabla49[ESPACIO ACADÉMICO DESTINO]&amp;Tabla49[PROGRAMA],Tabla49[CÓDIGO],"")</f>
        <v>15135</v>
      </c>
      <c r="H328" s="10" t="s">
        <v>56</v>
      </c>
      <c r="I328" s="14" cm="1">
        <f t="array" ref="I328">+_xlfn.XLOOKUP(Tabla9[[#This Row],[ESPACIO ACADÉMICO DESTINO]]&amp;Tabla9[[#This Row],[PROGRAMA DESTINO]],Tabla49[ESPACIO ACADÉMICO DESTINO]&amp;Tabla49[PROGRAMA],Tabla49[CRÉDITOS],"")</f>
        <v>2</v>
      </c>
      <c r="J328" s="14">
        <v>4.5</v>
      </c>
      <c r="K328" s="10" t="s">
        <v>107</v>
      </c>
      <c r="X328" s="52" t="s">
        <v>65</v>
      </c>
      <c r="Y328" s="8">
        <v>30389</v>
      </c>
      <c r="Z328" s="8" t="s">
        <v>563</v>
      </c>
      <c r="AA328" s="8">
        <v>3</v>
      </c>
    </row>
    <row r="329" spans="3:27" ht="45" x14ac:dyDescent="0.25">
      <c r="C329" s="1" t="str">
        <f>_xlfn.XLOOKUP(Tabla9[[#This Row],[PROGRAMA ORIGEN]],PROGRAMAS_N[PROGRAMAS ORIGEN],PROGRAMAS_N[NIVEL],"")</f>
        <v>TECNÓLOGO</v>
      </c>
      <c r="D329" s="16" t="s">
        <v>199</v>
      </c>
      <c r="E329" s="14">
        <v>210101005</v>
      </c>
      <c r="F329" s="10" t="s">
        <v>510</v>
      </c>
      <c r="G329" s="10" cm="1">
        <f t="array" ref="G329">+_xlfn.XLOOKUP(Tabla9[[#This Row],[ESPACIO ACADÉMICO DESTINO]]&amp;Tabla9[[#This Row],[PROGRAMA DESTINO]],Tabla49[ESPACIO ACADÉMICO DESTINO]&amp;Tabla49[PROGRAMA],Tabla49[CÓDIGO],"")</f>
        <v>16690</v>
      </c>
      <c r="H329" s="10" t="s">
        <v>391</v>
      </c>
      <c r="I329" s="14" cm="1">
        <f t="array" ref="I329">+_xlfn.XLOOKUP(Tabla9[[#This Row],[ESPACIO ACADÉMICO DESTINO]]&amp;Tabla9[[#This Row],[PROGRAMA DESTINO]],Tabla49[ESPACIO ACADÉMICO DESTINO]&amp;Tabla49[PROGRAMA],Tabla49[CRÉDITOS],"")</f>
        <v>2</v>
      </c>
      <c r="J329" s="14">
        <v>4.5</v>
      </c>
      <c r="K329" s="10" t="s">
        <v>107</v>
      </c>
      <c r="X329" s="52" t="s">
        <v>65</v>
      </c>
      <c r="Y329" s="8">
        <v>30390</v>
      </c>
      <c r="Z329" s="8" t="s">
        <v>153</v>
      </c>
      <c r="AA329" s="8">
        <v>3</v>
      </c>
    </row>
    <row r="330" spans="3:27" ht="45" x14ac:dyDescent="0.25">
      <c r="C330" s="1" t="str">
        <f>_xlfn.XLOOKUP(Tabla9[[#This Row],[PROGRAMA ORIGEN]],PROGRAMAS_N[PROGRAMAS ORIGEN],PROGRAMAS_N[NIVEL],"")</f>
        <v>TECNÓLOGO</v>
      </c>
      <c r="D330" s="16" t="s">
        <v>199</v>
      </c>
      <c r="E330" s="14">
        <v>260101021</v>
      </c>
      <c r="F330" s="10" t="s">
        <v>564</v>
      </c>
      <c r="G330" s="10" t="str" cm="1">
        <f t="array" ref="G330">+_xlfn.XLOOKUP(Tabla9[[#This Row],[ESPACIO ACADÉMICO DESTINO]]&amp;Tabla9[[#This Row],[PROGRAMA DESTINO]],Tabla49[ESPACIO ACADÉMICO DESTINO]&amp;Tabla49[PROGRAMA],Tabla49[CÓDIGO],"")</f>
        <v/>
      </c>
      <c r="H330" s="10"/>
      <c r="I330" s="14" t="str" cm="1">
        <f t="array" ref="I330">+_xlfn.XLOOKUP(Tabla9[[#This Row],[ESPACIO ACADÉMICO DESTINO]]&amp;Tabla9[[#This Row],[PROGRAMA DESTINO]],Tabla49[ESPACIO ACADÉMICO DESTINO]&amp;Tabla49[PROGRAMA],Tabla49[CRÉDITOS],"")</f>
        <v/>
      </c>
      <c r="J330" s="14"/>
      <c r="K330" s="10" t="s">
        <v>107</v>
      </c>
      <c r="X330" s="52" t="s">
        <v>65</v>
      </c>
      <c r="Y330" s="8">
        <v>30391</v>
      </c>
      <c r="Z330" s="8" t="s">
        <v>565</v>
      </c>
      <c r="AA330" s="8">
        <v>2</v>
      </c>
    </row>
    <row r="331" spans="3:27" ht="45" x14ac:dyDescent="0.25">
      <c r="C331" s="1" t="str">
        <f>_xlfn.XLOOKUP(Tabla9[[#This Row],[PROGRAMA ORIGEN]],PROGRAMAS_N[PROGRAMAS ORIGEN],PROGRAMAS_N[NIVEL],"")</f>
        <v>TECNÓLOGO</v>
      </c>
      <c r="D331" s="16" t="s">
        <v>199</v>
      </c>
      <c r="E331" s="14">
        <v>260101011</v>
      </c>
      <c r="F331" s="10" t="s">
        <v>566</v>
      </c>
      <c r="G331" s="10" cm="1">
        <f t="array" ref="G331">+_xlfn.XLOOKUP(Tabla9[[#This Row],[ESPACIO ACADÉMICO DESTINO]]&amp;Tabla9[[#This Row],[PROGRAMA DESTINO]],Tabla49[ESPACIO ACADÉMICO DESTINO]&amp;Tabla49[PROGRAMA],Tabla49[CÓDIGO],"")</f>
        <v>73349</v>
      </c>
      <c r="H331" s="10" t="s">
        <v>408</v>
      </c>
      <c r="I331" s="14" cm="1">
        <f t="array" ref="I331">+_xlfn.XLOOKUP(Tabla9[[#This Row],[ESPACIO ACADÉMICO DESTINO]]&amp;Tabla9[[#This Row],[PROGRAMA DESTINO]],Tabla49[ESPACIO ACADÉMICO DESTINO]&amp;Tabla49[PROGRAMA],Tabla49[CRÉDITOS],"")</f>
        <v>2</v>
      </c>
      <c r="J331" s="14">
        <v>4.5</v>
      </c>
      <c r="K331" s="10" t="s">
        <v>107</v>
      </c>
      <c r="X331" s="52" t="s">
        <v>65</v>
      </c>
      <c r="Y331" s="8">
        <v>30392</v>
      </c>
      <c r="Z331" s="8" t="s">
        <v>412</v>
      </c>
      <c r="AA331" s="8">
        <v>2</v>
      </c>
    </row>
    <row r="332" spans="3:27" ht="45" x14ac:dyDescent="0.25">
      <c r="C332" s="1" t="str">
        <f>_xlfn.XLOOKUP(Tabla9[[#This Row],[PROGRAMA ORIGEN]],PROGRAMAS_N[PROGRAMAS ORIGEN],PROGRAMAS_N[NIVEL],"")</f>
        <v>TECNÓLOGO</v>
      </c>
      <c r="D332" s="16" t="s">
        <v>199</v>
      </c>
      <c r="E332" s="14">
        <v>260101001</v>
      </c>
      <c r="F332" s="10" t="s">
        <v>559</v>
      </c>
      <c r="G332" s="10" t="str" cm="1">
        <f t="array" ref="G332">+_xlfn.XLOOKUP(Tabla9[[#This Row],[ESPACIO ACADÉMICO DESTINO]]&amp;Tabla9[[#This Row],[PROGRAMA DESTINO]],Tabla49[ESPACIO ACADÉMICO DESTINO]&amp;Tabla49[PROGRAMA],Tabla49[CÓDIGO],"")</f>
        <v/>
      </c>
      <c r="H332" s="10"/>
      <c r="I332" s="14" t="str" cm="1">
        <f t="array" ref="I332">+_xlfn.XLOOKUP(Tabla9[[#This Row],[ESPACIO ACADÉMICO DESTINO]]&amp;Tabla9[[#This Row],[PROGRAMA DESTINO]],Tabla49[ESPACIO ACADÉMICO DESTINO]&amp;Tabla49[PROGRAMA],Tabla49[CRÉDITOS],"")</f>
        <v/>
      </c>
      <c r="J332" s="14"/>
      <c r="K332" s="10" t="s">
        <v>107</v>
      </c>
      <c r="X332" s="52" t="s">
        <v>65</v>
      </c>
      <c r="Y332" s="8">
        <v>30524</v>
      </c>
      <c r="Z332" s="8" t="s">
        <v>163</v>
      </c>
      <c r="AA332" s="8">
        <v>2</v>
      </c>
    </row>
    <row r="333" spans="3:27" ht="45" x14ac:dyDescent="0.25">
      <c r="C333" s="1" t="str">
        <f>_xlfn.XLOOKUP(Tabla9[[#This Row],[PROGRAMA ORIGEN]],PROGRAMAS_N[PROGRAMAS ORIGEN],PROGRAMAS_N[NIVEL],"")</f>
        <v>TECNÓLOGO</v>
      </c>
      <c r="D333" s="16" t="s">
        <v>199</v>
      </c>
      <c r="E333" s="14">
        <v>260101021</v>
      </c>
      <c r="F333" s="10" t="s">
        <v>564</v>
      </c>
      <c r="G333" s="10" cm="1">
        <f t="array" ref="G333">+_xlfn.XLOOKUP(Tabla9[[#This Row],[ESPACIO ACADÉMICO DESTINO]]&amp;Tabla9[[#This Row],[PROGRAMA DESTINO]],Tabla49[ESPACIO ACADÉMICO DESTINO]&amp;Tabla49[PROGRAMA],Tabla49[CÓDIGO],"")</f>
        <v>73623</v>
      </c>
      <c r="H333" s="10" t="s">
        <v>409</v>
      </c>
      <c r="I333" s="14" cm="1">
        <f t="array" ref="I333">+_xlfn.XLOOKUP(Tabla9[[#This Row],[ESPACIO ACADÉMICO DESTINO]]&amp;Tabla9[[#This Row],[PROGRAMA DESTINO]],Tabla49[ESPACIO ACADÉMICO DESTINO]&amp;Tabla49[PROGRAMA],Tabla49[CRÉDITOS],"")</f>
        <v>2</v>
      </c>
      <c r="J333" s="14">
        <v>4.5</v>
      </c>
      <c r="K333" s="10" t="s">
        <v>107</v>
      </c>
      <c r="X333" s="52" t="s">
        <v>65</v>
      </c>
      <c r="Y333" s="8">
        <v>30530</v>
      </c>
      <c r="Z333" s="8" t="s">
        <v>184</v>
      </c>
      <c r="AA333" s="8">
        <v>2</v>
      </c>
    </row>
    <row r="334" spans="3:27" ht="45" x14ac:dyDescent="0.25">
      <c r="C334" s="1" t="str">
        <f>_xlfn.XLOOKUP(Tabla9[[#This Row],[PROGRAMA ORIGEN]],PROGRAMAS_N[PROGRAMAS ORIGEN],PROGRAMAS_N[NIVEL],"")</f>
        <v>TECNÓLOGO</v>
      </c>
      <c r="D334" s="16" t="s">
        <v>199</v>
      </c>
      <c r="E334" s="14">
        <v>260101027</v>
      </c>
      <c r="F334" s="10" t="s">
        <v>519</v>
      </c>
      <c r="G334" s="10" cm="1">
        <f t="array" ref="G334">+_xlfn.XLOOKUP(Tabla9[[#This Row],[ESPACIO ACADÉMICO DESTINO]]&amp;Tabla9[[#This Row],[PROGRAMA DESTINO]],Tabla49[ESPACIO ACADÉMICO DESTINO]&amp;Tabla49[PROGRAMA],Tabla49[CÓDIGO],"")</f>
        <v>31038</v>
      </c>
      <c r="H334" s="10" t="s">
        <v>407</v>
      </c>
      <c r="I334" s="14" cm="1">
        <f t="array" ref="I334">+_xlfn.XLOOKUP(Tabla9[[#This Row],[ESPACIO ACADÉMICO DESTINO]]&amp;Tabla9[[#This Row],[PROGRAMA DESTINO]],Tabla49[ESPACIO ACADÉMICO DESTINO]&amp;Tabla49[PROGRAMA],Tabla49[CRÉDITOS],"")</f>
        <v>2</v>
      </c>
      <c r="J334" s="14">
        <v>4.5</v>
      </c>
      <c r="K334" s="10" t="s">
        <v>107</v>
      </c>
      <c r="X334" s="52" t="s">
        <v>65</v>
      </c>
      <c r="Y334" s="8">
        <v>30393</v>
      </c>
      <c r="Z334" s="8" t="s">
        <v>567</v>
      </c>
      <c r="AA334" s="8">
        <v>3</v>
      </c>
    </row>
    <row r="335" spans="3:27" ht="45" x14ac:dyDescent="0.25">
      <c r="C335" s="1" t="str">
        <f>_xlfn.XLOOKUP(Tabla9[[#This Row],[PROGRAMA ORIGEN]],PROGRAMAS_N[PROGRAMAS ORIGEN],PROGRAMAS_N[NIVEL],"")</f>
        <v>TECNÓLOGO</v>
      </c>
      <c r="D335" s="16" t="s">
        <v>199</v>
      </c>
      <c r="E335" s="14">
        <v>210101008</v>
      </c>
      <c r="F335" s="10" t="s">
        <v>521</v>
      </c>
      <c r="G335" s="10" cm="1">
        <f t="array" ref="G335">+_xlfn.XLOOKUP(Tabla9[[#This Row],[ESPACIO ACADÉMICO DESTINO]]&amp;Tabla9[[#This Row],[PROGRAMA DESTINO]],Tabla49[ESPACIO ACADÉMICO DESTINO]&amp;Tabla49[PROGRAMA],Tabla49[CÓDIGO],"")</f>
        <v>73624</v>
      </c>
      <c r="H335" s="10" t="s">
        <v>153</v>
      </c>
      <c r="I335" s="14" cm="1">
        <f t="array" ref="I335">+_xlfn.XLOOKUP(Tabla9[[#This Row],[ESPACIO ACADÉMICO DESTINO]]&amp;Tabla9[[#This Row],[PROGRAMA DESTINO]],Tabla49[ESPACIO ACADÉMICO DESTINO]&amp;Tabla49[PROGRAMA],Tabla49[CRÉDITOS],"")</f>
        <v>2</v>
      </c>
      <c r="J335" s="14">
        <v>4.5</v>
      </c>
      <c r="K335" s="10" t="s">
        <v>107</v>
      </c>
      <c r="X335" s="52" t="s">
        <v>65</v>
      </c>
      <c r="Y335" s="8">
        <v>30394</v>
      </c>
      <c r="Z335" s="8" t="s">
        <v>165</v>
      </c>
      <c r="AA335" s="8">
        <v>2</v>
      </c>
    </row>
    <row r="336" spans="3:27" ht="45" x14ac:dyDescent="0.25">
      <c r="C336" s="1" t="str">
        <f>_xlfn.XLOOKUP(Tabla9[[#This Row],[PROGRAMA ORIGEN]],PROGRAMAS_N[PROGRAMAS ORIGEN],PROGRAMAS_N[NIVEL],"")</f>
        <v>TECNÓLOGO</v>
      </c>
      <c r="D336" s="16" t="s">
        <v>199</v>
      </c>
      <c r="E336" s="14">
        <v>210301029</v>
      </c>
      <c r="F336" s="10" t="s">
        <v>568</v>
      </c>
      <c r="G336" s="10" cm="1">
        <f t="array" ref="G336">+_xlfn.XLOOKUP(Tabla9[[#This Row],[ESPACIO ACADÉMICO DESTINO]]&amp;Tabla9[[#This Row],[PROGRAMA DESTINO]],Tabla49[ESPACIO ACADÉMICO DESTINO]&amp;Tabla49[PROGRAMA],Tabla49[CÓDIGO],"")</f>
        <v>73360</v>
      </c>
      <c r="H336" s="10" t="s">
        <v>419</v>
      </c>
      <c r="I336" s="14" cm="1">
        <f t="array" ref="I336">+_xlfn.XLOOKUP(Tabla9[[#This Row],[ESPACIO ACADÉMICO DESTINO]]&amp;Tabla9[[#This Row],[PROGRAMA DESTINO]],Tabla49[ESPACIO ACADÉMICO DESTINO]&amp;Tabla49[PROGRAMA],Tabla49[CRÉDITOS],"")</f>
        <v>2</v>
      </c>
      <c r="J336" s="14">
        <v>4.5</v>
      </c>
      <c r="K336" s="10" t="s">
        <v>107</v>
      </c>
      <c r="X336" s="52" t="s">
        <v>65</v>
      </c>
      <c r="Y336" s="8">
        <v>30395</v>
      </c>
      <c r="Z336" s="8" t="s">
        <v>419</v>
      </c>
      <c r="AA336" s="8">
        <v>3</v>
      </c>
    </row>
    <row r="337" spans="3:27" ht="45" x14ac:dyDescent="0.25">
      <c r="C337" s="1" t="str">
        <f>_xlfn.XLOOKUP(Tabla9[[#This Row],[PROGRAMA ORIGEN]],PROGRAMAS_N[PROGRAMAS ORIGEN],PROGRAMAS_N[NIVEL],"")</f>
        <v>TECNÓLOGO</v>
      </c>
      <c r="D337" s="16" t="s">
        <v>199</v>
      </c>
      <c r="E337" s="14">
        <v>210101026</v>
      </c>
      <c r="F337" s="10" t="s">
        <v>569</v>
      </c>
      <c r="G337" s="10" cm="1">
        <f t="array" ref="G337">+_xlfn.XLOOKUP(Tabla9[[#This Row],[ESPACIO ACADÉMICO DESTINO]]&amp;Tabla9[[#This Row],[PROGRAMA DESTINO]],Tabla49[ESPACIO ACADÉMICO DESTINO]&amp;Tabla49[PROGRAMA],Tabla49[CÓDIGO],"")</f>
        <v>73629</v>
      </c>
      <c r="H337" s="10" t="s">
        <v>425</v>
      </c>
      <c r="I337" s="14" cm="1">
        <f t="array" ref="I337">+_xlfn.XLOOKUP(Tabla9[[#This Row],[ESPACIO ACADÉMICO DESTINO]]&amp;Tabla9[[#This Row],[PROGRAMA DESTINO]],Tabla49[ESPACIO ACADÉMICO DESTINO]&amp;Tabla49[PROGRAMA],Tabla49[CRÉDITOS],"")</f>
        <v>2</v>
      </c>
      <c r="J337" s="14">
        <v>4.5</v>
      </c>
      <c r="K337" s="10" t="s">
        <v>107</v>
      </c>
      <c r="X337" s="52" t="s">
        <v>65</v>
      </c>
      <c r="Y337" s="8">
        <v>30396</v>
      </c>
      <c r="Z337" s="8" t="s">
        <v>408</v>
      </c>
      <c r="AA337" s="8">
        <v>3</v>
      </c>
    </row>
    <row r="338" spans="3:27" ht="45" x14ac:dyDescent="0.25">
      <c r="C338" s="1" t="str">
        <f>_xlfn.XLOOKUP(Tabla9[[#This Row],[PROGRAMA ORIGEN]],PROGRAMAS_N[PROGRAMAS ORIGEN],PROGRAMAS_N[NIVEL],"")</f>
        <v>TECNÓLOGO</v>
      </c>
      <c r="D338" s="16" t="s">
        <v>199</v>
      </c>
      <c r="E338" s="14">
        <v>260101004</v>
      </c>
      <c r="F338" s="10" t="s">
        <v>570</v>
      </c>
      <c r="G338" s="10" cm="1">
        <f t="array" ref="G338">+_xlfn.XLOOKUP(Tabla9[[#This Row],[ESPACIO ACADÉMICO DESTINO]]&amp;Tabla9[[#This Row],[PROGRAMA DESTINO]],Tabla49[ESPACIO ACADÉMICO DESTINO]&amp;Tabla49[PROGRAMA],Tabla49[CÓDIGO],"")</f>
        <v>73639</v>
      </c>
      <c r="H338" s="10" t="s">
        <v>441</v>
      </c>
      <c r="I338" s="14" cm="1">
        <f t="array" ref="I338">+_xlfn.XLOOKUP(Tabla9[[#This Row],[ESPACIO ACADÉMICO DESTINO]]&amp;Tabla9[[#This Row],[PROGRAMA DESTINO]],Tabla49[ESPACIO ACADÉMICO DESTINO]&amp;Tabla49[PROGRAMA],Tabla49[CRÉDITOS],"")</f>
        <v>2</v>
      </c>
      <c r="J338" s="14">
        <v>4.5</v>
      </c>
      <c r="K338" s="10" t="s">
        <v>107</v>
      </c>
      <c r="X338" s="52" t="s">
        <v>65</v>
      </c>
      <c r="Y338" s="8">
        <v>30524</v>
      </c>
      <c r="Z338" s="8" t="s">
        <v>201</v>
      </c>
      <c r="AA338" s="8">
        <v>2</v>
      </c>
    </row>
    <row r="339" spans="3:27" ht="45" x14ac:dyDescent="0.25">
      <c r="C339" s="1" t="str">
        <f>_xlfn.XLOOKUP(Tabla9[[#This Row],[PROGRAMA ORIGEN]],PROGRAMAS_N[PROGRAMAS ORIGEN],PROGRAMAS_N[NIVEL],"")</f>
        <v>TECNÓLOGO</v>
      </c>
      <c r="D339" s="16" t="s">
        <v>199</v>
      </c>
      <c r="E339" s="14">
        <v>210101029</v>
      </c>
      <c r="F339" s="10" t="s">
        <v>571</v>
      </c>
      <c r="G339" s="10" cm="1">
        <f t="array" ref="G339">+_xlfn.XLOOKUP(Tabla9[[#This Row],[ESPACIO ACADÉMICO DESTINO]]&amp;Tabla9[[#This Row],[PROGRAMA DESTINO]],Tabla49[ESPACIO ACADÉMICO DESTINO]&amp;Tabla49[PROGRAMA],Tabla49[CÓDIGO],"")</f>
        <v>73643</v>
      </c>
      <c r="H339" s="10" t="s">
        <v>446</v>
      </c>
      <c r="I339" s="14" cm="1">
        <f t="array" ref="I339">+_xlfn.XLOOKUP(Tabla9[[#This Row],[ESPACIO ACADÉMICO DESTINO]]&amp;Tabla9[[#This Row],[PROGRAMA DESTINO]],Tabla49[ESPACIO ACADÉMICO DESTINO]&amp;Tabla49[PROGRAMA],Tabla49[CRÉDITOS],"")</f>
        <v>2</v>
      </c>
      <c r="J339" s="14">
        <v>4.5</v>
      </c>
      <c r="K339" s="10" t="s">
        <v>107</v>
      </c>
      <c r="X339" s="52" t="s">
        <v>65</v>
      </c>
      <c r="Y339" s="8">
        <v>30531</v>
      </c>
      <c r="Z339" s="8" t="s">
        <v>202</v>
      </c>
      <c r="AA339" s="8">
        <v>2</v>
      </c>
    </row>
    <row r="340" spans="3:27" ht="45" x14ac:dyDescent="0.25">
      <c r="C340" s="1" t="str">
        <f>_xlfn.XLOOKUP(Tabla9[[#This Row],[PROGRAMA ORIGEN]],PROGRAMAS_N[PROGRAMAS ORIGEN],PROGRAMAS_N[NIVEL],"")</f>
        <v>TECNÓLOGO</v>
      </c>
      <c r="D340" s="16" t="s">
        <v>199</v>
      </c>
      <c r="E340" s="14">
        <v>210101021</v>
      </c>
      <c r="F340" s="10" t="s">
        <v>530</v>
      </c>
      <c r="G340" s="10" t="str" cm="1">
        <f t="array" ref="G340">+_xlfn.XLOOKUP(Tabla9[[#This Row],[ESPACIO ACADÉMICO DESTINO]]&amp;Tabla9[[#This Row],[PROGRAMA DESTINO]],Tabla49[ESPACIO ACADÉMICO DESTINO]&amp;Tabla49[PROGRAMA],Tabla49[CÓDIGO],"")</f>
        <v/>
      </c>
      <c r="H340" s="10"/>
      <c r="I340" s="14" t="str" cm="1">
        <f t="array" ref="I340">+_xlfn.XLOOKUP(Tabla9[[#This Row],[ESPACIO ACADÉMICO DESTINO]]&amp;Tabla9[[#This Row],[PROGRAMA DESTINO]],Tabla49[ESPACIO ACADÉMICO DESTINO]&amp;Tabla49[PROGRAMA],Tabla49[CRÉDITOS],"")</f>
        <v/>
      </c>
      <c r="J340" s="14"/>
      <c r="K340" s="10" t="s">
        <v>107</v>
      </c>
      <c r="X340" s="52" t="s">
        <v>65</v>
      </c>
      <c r="Y340" s="8">
        <v>30501</v>
      </c>
      <c r="Z340" s="8" t="s">
        <v>572</v>
      </c>
      <c r="AA340" s="8">
        <v>3</v>
      </c>
    </row>
    <row r="341" spans="3:27" ht="45" x14ac:dyDescent="0.25">
      <c r="C341" s="1" t="str">
        <f>_xlfn.XLOOKUP(Tabla9[[#This Row],[PROGRAMA ORIGEN]],PROGRAMAS_N[PROGRAMAS ORIGEN],PROGRAMAS_N[NIVEL],"")</f>
        <v>TECNÓLOGO</v>
      </c>
      <c r="D341" s="10" t="s">
        <v>145</v>
      </c>
      <c r="E341" s="14">
        <v>240201500</v>
      </c>
      <c r="F341" s="10" t="s">
        <v>508</v>
      </c>
      <c r="G341" s="10" cm="1">
        <f t="array" ref="G341">+_xlfn.XLOOKUP(Tabla9[[#This Row],[ESPACIO ACADÉMICO DESTINO]]&amp;Tabla9[[#This Row],[PROGRAMA DESTINO]],Tabla49[ESPACIO ACADÉMICO DESTINO]&amp;Tabla49[PROGRAMA],Tabla49[CÓDIGO],"")</f>
        <v>15135</v>
      </c>
      <c r="H341" s="10" t="s">
        <v>56</v>
      </c>
      <c r="I341" s="14" cm="1">
        <f t="array" ref="I341">+_xlfn.XLOOKUP(Tabla9[[#This Row],[ESPACIO ACADÉMICO DESTINO]]&amp;Tabla9[[#This Row],[PROGRAMA DESTINO]],Tabla49[ESPACIO ACADÉMICO DESTINO]&amp;Tabla49[PROGRAMA],Tabla49[CRÉDITOS],"")</f>
        <v>2</v>
      </c>
      <c r="J341" s="14">
        <v>4.5</v>
      </c>
      <c r="K341" s="10" t="s">
        <v>107</v>
      </c>
      <c r="X341" s="52" t="s">
        <v>65</v>
      </c>
      <c r="Y341" s="8">
        <v>30502</v>
      </c>
      <c r="Z341" s="8" t="s">
        <v>573</v>
      </c>
      <c r="AA341" s="8">
        <v>3</v>
      </c>
    </row>
    <row r="342" spans="3:27" ht="45" x14ac:dyDescent="0.25">
      <c r="C342" s="1" t="str">
        <f>_xlfn.XLOOKUP(Tabla9[[#This Row],[PROGRAMA ORIGEN]],PROGRAMAS_N[PROGRAMAS ORIGEN],PROGRAMAS_N[NIVEL],"")</f>
        <v>TECNÓLOGO</v>
      </c>
      <c r="D342" s="10" t="s">
        <v>145</v>
      </c>
      <c r="E342" s="14">
        <v>210101005</v>
      </c>
      <c r="F342" s="10" t="s">
        <v>510</v>
      </c>
      <c r="G342" s="10" cm="1">
        <f t="array" ref="G342">+_xlfn.XLOOKUP(Tabla9[[#This Row],[ESPACIO ACADÉMICO DESTINO]]&amp;Tabla9[[#This Row],[PROGRAMA DESTINO]],Tabla49[ESPACIO ACADÉMICO DESTINO]&amp;Tabla49[PROGRAMA],Tabla49[CÓDIGO],"")</f>
        <v>16690</v>
      </c>
      <c r="H342" s="10" t="s">
        <v>391</v>
      </c>
      <c r="I342" s="14" cm="1">
        <f t="array" ref="I342">+_xlfn.XLOOKUP(Tabla9[[#This Row],[ESPACIO ACADÉMICO DESTINO]]&amp;Tabla9[[#This Row],[PROGRAMA DESTINO]],Tabla49[ESPACIO ACADÉMICO DESTINO]&amp;Tabla49[PROGRAMA],Tabla49[CRÉDITOS],"")</f>
        <v>2</v>
      </c>
      <c r="J342" s="14">
        <v>4.5</v>
      </c>
      <c r="K342" s="10" t="s">
        <v>107</v>
      </c>
      <c r="X342" s="52" t="s">
        <v>65</v>
      </c>
      <c r="Y342" s="8">
        <v>30503</v>
      </c>
      <c r="Z342" s="8" t="s">
        <v>375</v>
      </c>
      <c r="AA342" s="8">
        <v>3</v>
      </c>
    </row>
    <row r="343" spans="3:27" ht="45" x14ac:dyDescent="0.25">
      <c r="C343" s="1" t="str">
        <f>_xlfn.XLOOKUP(Tabla9[[#This Row],[PROGRAMA ORIGEN]],PROGRAMAS_N[PROGRAMAS ORIGEN],PROGRAMAS_N[NIVEL],"")</f>
        <v>TECNÓLOGO</v>
      </c>
      <c r="D343" s="10" t="s">
        <v>145</v>
      </c>
      <c r="E343" s="14">
        <v>210101017</v>
      </c>
      <c r="F343" s="10" t="s">
        <v>574</v>
      </c>
      <c r="G343" s="10" t="str" cm="1">
        <f t="array" ref="G343">+_xlfn.XLOOKUP(Tabla9[[#This Row],[ESPACIO ACADÉMICO DESTINO]]&amp;Tabla9[[#This Row],[PROGRAMA DESTINO]],Tabla49[ESPACIO ACADÉMICO DESTINO]&amp;Tabla49[PROGRAMA],Tabla49[CÓDIGO],"")</f>
        <v/>
      </c>
      <c r="H343" s="10"/>
      <c r="I343" s="14" t="str" cm="1">
        <f t="array" ref="I343">+_xlfn.XLOOKUP(Tabla9[[#This Row],[ESPACIO ACADÉMICO DESTINO]]&amp;Tabla9[[#This Row],[PROGRAMA DESTINO]],Tabla49[ESPACIO ACADÉMICO DESTINO]&amp;Tabla49[PROGRAMA],Tabla49[CRÉDITOS],"")</f>
        <v/>
      </c>
      <c r="J343" s="14"/>
      <c r="K343" s="10" t="s">
        <v>107</v>
      </c>
      <c r="X343" s="52" t="s">
        <v>65</v>
      </c>
      <c r="Y343" s="8">
        <v>30504</v>
      </c>
      <c r="Z343" s="8" t="s">
        <v>575</v>
      </c>
      <c r="AA343" s="8">
        <v>2</v>
      </c>
    </row>
    <row r="344" spans="3:27" ht="45" x14ac:dyDescent="0.25">
      <c r="C344" s="1" t="str">
        <f>_xlfn.XLOOKUP(Tabla9[[#This Row],[PROGRAMA ORIGEN]],PROGRAMAS_N[PROGRAMAS ORIGEN],PROGRAMAS_N[NIVEL],"")</f>
        <v>TECNÓLOGO</v>
      </c>
      <c r="D344" s="10" t="s">
        <v>145</v>
      </c>
      <c r="E344" s="14">
        <v>210101031</v>
      </c>
      <c r="F344" s="10" t="s">
        <v>504</v>
      </c>
      <c r="G344" s="10" cm="1">
        <f t="array" ref="G344">+_xlfn.XLOOKUP(Tabla9[[#This Row],[ESPACIO ACADÉMICO DESTINO]]&amp;Tabla9[[#This Row],[PROGRAMA DESTINO]],Tabla49[ESPACIO ACADÉMICO DESTINO]&amp;Tabla49[PROGRAMA],Tabla49[CÓDIGO],"")</f>
        <v>73619</v>
      </c>
      <c r="H344" s="10" t="s">
        <v>395</v>
      </c>
      <c r="I344" s="14" cm="1">
        <f t="array" ref="I344">+_xlfn.XLOOKUP(Tabla9[[#This Row],[ESPACIO ACADÉMICO DESTINO]]&amp;Tabla9[[#This Row],[PROGRAMA DESTINO]],Tabla49[ESPACIO ACADÉMICO DESTINO]&amp;Tabla49[PROGRAMA],Tabla49[CRÉDITOS],"")</f>
        <v>2</v>
      </c>
      <c r="J344" s="14">
        <v>4.5</v>
      </c>
      <c r="K344" s="10" t="s">
        <v>107</v>
      </c>
      <c r="X344" s="52" t="s">
        <v>65</v>
      </c>
      <c r="Y344" s="8">
        <v>30505</v>
      </c>
      <c r="Z344" s="8" t="s">
        <v>576</v>
      </c>
      <c r="AA344" s="8">
        <v>2</v>
      </c>
    </row>
    <row r="345" spans="3:27" ht="45" x14ac:dyDescent="0.25">
      <c r="C345" s="1" t="str">
        <f>_xlfn.XLOOKUP(Tabla9[[#This Row],[PROGRAMA ORIGEN]],PROGRAMAS_N[PROGRAMAS ORIGEN],PROGRAMAS_N[NIVEL],"")</f>
        <v>TECNÓLOGO</v>
      </c>
      <c r="D345" s="10" t="s">
        <v>145</v>
      </c>
      <c r="E345" s="14">
        <v>210101035</v>
      </c>
      <c r="F345" s="10" t="s">
        <v>506</v>
      </c>
      <c r="G345" s="10" t="str" cm="1">
        <f t="array" ref="G345">+_xlfn.XLOOKUP(Tabla9[[#This Row],[ESPACIO ACADÉMICO DESTINO]]&amp;Tabla9[[#This Row],[PROGRAMA DESTINO]],Tabla49[ESPACIO ACADÉMICO DESTINO]&amp;Tabla49[PROGRAMA],Tabla49[CÓDIGO],"")</f>
        <v/>
      </c>
      <c r="H345" s="10"/>
      <c r="I345" s="14" t="str" cm="1">
        <f t="array" ref="I345">+_xlfn.XLOOKUP(Tabla9[[#This Row],[ESPACIO ACADÉMICO DESTINO]]&amp;Tabla9[[#This Row],[PROGRAMA DESTINO]],Tabla49[ESPACIO ACADÉMICO DESTINO]&amp;Tabla49[PROGRAMA],Tabla49[CRÉDITOS],"")</f>
        <v/>
      </c>
      <c r="J345" s="14"/>
      <c r="K345" s="10" t="s">
        <v>107</v>
      </c>
      <c r="X345" s="52" t="s">
        <v>65</v>
      </c>
      <c r="Y345" s="8">
        <v>30526</v>
      </c>
      <c r="Z345" s="8" t="s">
        <v>213</v>
      </c>
      <c r="AA345" s="8">
        <v>2</v>
      </c>
    </row>
    <row r="346" spans="3:27" ht="45" x14ac:dyDescent="0.25">
      <c r="C346" s="1" t="str">
        <f>_xlfn.XLOOKUP(Tabla9[[#This Row],[PROGRAMA ORIGEN]],PROGRAMAS_N[PROGRAMAS ORIGEN],PROGRAMAS_N[NIVEL],"")</f>
        <v>TECNÓLOGO</v>
      </c>
      <c r="D346" s="10" t="s">
        <v>145</v>
      </c>
      <c r="E346" s="14">
        <v>210101041</v>
      </c>
      <c r="F346" s="10" t="s">
        <v>577</v>
      </c>
      <c r="G346" s="10" cm="1">
        <f t="array" ref="G346">+_xlfn.XLOOKUP(Tabla9[[#This Row],[ESPACIO ACADÉMICO DESTINO]]&amp;Tabla9[[#This Row],[PROGRAMA DESTINO]],Tabla49[ESPACIO ACADÉMICO DESTINO]&amp;Tabla49[PROGRAMA],Tabla49[CÓDIGO],"")</f>
        <v>73623</v>
      </c>
      <c r="H346" s="10" t="s">
        <v>409</v>
      </c>
      <c r="I346" s="14" cm="1">
        <f t="array" ref="I346">+_xlfn.XLOOKUP(Tabla9[[#This Row],[ESPACIO ACADÉMICO DESTINO]]&amp;Tabla9[[#This Row],[PROGRAMA DESTINO]],Tabla49[ESPACIO ACADÉMICO DESTINO]&amp;Tabla49[PROGRAMA],Tabla49[CRÉDITOS],"")</f>
        <v>2</v>
      </c>
      <c r="J346" s="14">
        <v>4.5</v>
      </c>
      <c r="K346" s="10" t="s">
        <v>107</v>
      </c>
      <c r="X346" s="52" t="s">
        <v>65</v>
      </c>
      <c r="Y346" s="8">
        <v>30532</v>
      </c>
      <c r="Z346" s="8" t="s">
        <v>214</v>
      </c>
      <c r="AA346" s="8">
        <v>2</v>
      </c>
    </row>
    <row r="347" spans="3:27" ht="45" x14ac:dyDescent="0.25">
      <c r="C347" s="1" t="str">
        <f>_xlfn.XLOOKUP(Tabla9[[#This Row],[PROGRAMA ORIGEN]],PROGRAMAS_N[PROGRAMAS ORIGEN],PROGRAMAS_N[NIVEL],"")</f>
        <v>TECNÓLOGO</v>
      </c>
      <c r="D347" s="10" t="s">
        <v>145</v>
      </c>
      <c r="E347" s="14">
        <v>210101040</v>
      </c>
      <c r="F347" s="10" t="s">
        <v>526</v>
      </c>
      <c r="G347" s="10" t="str" cm="1">
        <f t="array" ref="G347">+_xlfn.XLOOKUP(Tabla9[[#This Row],[ESPACIO ACADÉMICO DESTINO]]&amp;Tabla9[[#This Row],[PROGRAMA DESTINO]],Tabla49[ESPACIO ACADÉMICO DESTINO]&amp;Tabla49[PROGRAMA],Tabla49[CÓDIGO],"")</f>
        <v/>
      </c>
      <c r="H347" s="10"/>
      <c r="I347" s="14" t="str" cm="1">
        <f t="array" ref="I347">+_xlfn.XLOOKUP(Tabla9[[#This Row],[ESPACIO ACADÉMICO DESTINO]]&amp;Tabla9[[#This Row],[PROGRAMA DESTINO]],Tabla49[ESPACIO ACADÉMICO DESTINO]&amp;Tabla49[PROGRAMA],Tabla49[CRÉDITOS],"")</f>
        <v/>
      </c>
      <c r="J347" s="14"/>
      <c r="K347" s="10" t="s">
        <v>107</v>
      </c>
      <c r="X347" s="52" t="s">
        <v>65</v>
      </c>
      <c r="Y347" s="8">
        <v>30506</v>
      </c>
      <c r="Z347" s="8" t="s">
        <v>578</v>
      </c>
      <c r="AA347" s="8">
        <v>3</v>
      </c>
    </row>
    <row r="348" spans="3:27" ht="45" x14ac:dyDescent="0.25">
      <c r="C348" s="1" t="str">
        <f>_xlfn.XLOOKUP(Tabla9[[#This Row],[PROGRAMA ORIGEN]],PROGRAMAS_N[PROGRAMAS ORIGEN],PROGRAMAS_N[NIVEL],"")</f>
        <v>TECNÓLOGO</v>
      </c>
      <c r="D348" s="10" t="s">
        <v>145</v>
      </c>
      <c r="E348" s="14">
        <v>260101027</v>
      </c>
      <c r="F348" s="10" t="s">
        <v>519</v>
      </c>
      <c r="G348" s="10" cm="1">
        <f t="array" ref="G348">+_xlfn.XLOOKUP(Tabla9[[#This Row],[ESPACIO ACADÉMICO DESTINO]]&amp;Tabla9[[#This Row],[PROGRAMA DESTINO]],Tabla49[ESPACIO ACADÉMICO DESTINO]&amp;Tabla49[PROGRAMA],Tabla49[CÓDIGO],"")</f>
        <v>31038</v>
      </c>
      <c r="H348" s="10" t="s">
        <v>407</v>
      </c>
      <c r="I348" s="14" cm="1">
        <f t="array" ref="I348">+_xlfn.XLOOKUP(Tabla9[[#This Row],[ESPACIO ACADÉMICO DESTINO]]&amp;Tabla9[[#This Row],[PROGRAMA DESTINO]],Tabla49[ESPACIO ACADÉMICO DESTINO]&amp;Tabla49[PROGRAMA],Tabla49[CRÉDITOS],"")</f>
        <v>2</v>
      </c>
      <c r="J348" s="14">
        <v>4.5</v>
      </c>
      <c r="K348" s="10" t="s">
        <v>107</v>
      </c>
      <c r="X348" s="52" t="s">
        <v>65</v>
      </c>
      <c r="Y348" s="8">
        <v>30507</v>
      </c>
      <c r="Z348" s="8" t="s">
        <v>579</v>
      </c>
      <c r="AA348" s="8">
        <v>2</v>
      </c>
    </row>
    <row r="349" spans="3:27" ht="45" x14ac:dyDescent="0.25">
      <c r="C349" s="1" t="str">
        <f>_xlfn.XLOOKUP(Tabla9[[#This Row],[PROGRAMA ORIGEN]],PROGRAMAS_N[PROGRAMAS ORIGEN],PROGRAMAS_N[NIVEL],"")</f>
        <v>TECNÓLOGO</v>
      </c>
      <c r="D349" s="10" t="s">
        <v>145</v>
      </c>
      <c r="E349" s="14">
        <v>210101033</v>
      </c>
      <c r="F349" s="10" t="s">
        <v>580</v>
      </c>
      <c r="G349" s="10" cm="1">
        <f t="array" ref="G349">+_xlfn.XLOOKUP(Tabla9[[#This Row],[ESPACIO ACADÉMICO DESTINO]]&amp;Tabla9[[#This Row],[PROGRAMA DESTINO]],Tabla49[ESPACIO ACADÉMICO DESTINO]&amp;Tabla49[PROGRAMA],Tabla49[CÓDIGO],"")</f>
        <v>73624</v>
      </c>
      <c r="H349" s="10" t="s">
        <v>153</v>
      </c>
      <c r="I349" s="14" cm="1">
        <f t="array" ref="I349">+_xlfn.XLOOKUP(Tabla9[[#This Row],[ESPACIO ACADÉMICO DESTINO]]&amp;Tabla9[[#This Row],[PROGRAMA DESTINO]],Tabla49[ESPACIO ACADÉMICO DESTINO]&amp;Tabla49[PROGRAMA],Tabla49[CRÉDITOS],"")</f>
        <v>2</v>
      </c>
      <c r="J349" s="14">
        <v>4.5</v>
      </c>
      <c r="K349" s="10" t="s">
        <v>107</v>
      </c>
      <c r="X349" s="52" t="s">
        <v>65</v>
      </c>
      <c r="Y349" s="8">
        <v>30508</v>
      </c>
      <c r="Z349" s="8" t="s">
        <v>581</v>
      </c>
      <c r="AA349" s="8">
        <v>3</v>
      </c>
    </row>
    <row r="350" spans="3:27" ht="45" x14ac:dyDescent="0.25">
      <c r="C350" s="1" t="str">
        <f>_xlfn.XLOOKUP(Tabla9[[#This Row],[PROGRAMA ORIGEN]],PROGRAMAS_N[PROGRAMAS ORIGEN],PROGRAMAS_N[NIVEL],"")</f>
        <v>TECNÓLOGO</v>
      </c>
      <c r="D350" s="10" t="s">
        <v>145</v>
      </c>
      <c r="E350" s="14">
        <v>210101003</v>
      </c>
      <c r="F350" s="10" t="s">
        <v>551</v>
      </c>
      <c r="G350" s="10" cm="1">
        <f t="array" ref="G350">+_xlfn.XLOOKUP(Tabla9[[#This Row],[ESPACIO ACADÉMICO DESTINO]]&amp;Tabla9[[#This Row],[PROGRAMA DESTINO]],Tabla49[ESPACIO ACADÉMICO DESTINO]&amp;Tabla49[PROGRAMA],Tabla49[CÓDIGO],"")</f>
        <v>73629</v>
      </c>
      <c r="H350" s="10" t="s">
        <v>425</v>
      </c>
      <c r="I350" s="14" cm="1">
        <f t="array" ref="I350">+_xlfn.XLOOKUP(Tabla9[[#This Row],[ESPACIO ACADÉMICO DESTINO]]&amp;Tabla9[[#This Row],[PROGRAMA DESTINO]],Tabla49[ESPACIO ACADÉMICO DESTINO]&amp;Tabla49[PROGRAMA],Tabla49[CRÉDITOS],"")</f>
        <v>2</v>
      </c>
      <c r="J350" s="14">
        <v>4.5</v>
      </c>
      <c r="K350" s="10" t="s">
        <v>107</v>
      </c>
      <c r="X350" s="52" t="s">
        <v>65</v>
      </c>
      <c r="Y350" s="8">
        <v>30509</v>
      </c>
      <c r="Z350" s="8" t="s">
        <v>582</v>
      </c>
      <c r="AA350" s="8">
        <v>3</v>
      </c>
    </row>
    <row r="351" spans="3:27" ht="45" x14ac:dyDescent="0.25">
      <c r="C351" s="1" t="str">
        <f>_xlfn.XLOOKUP(Tabla9[[#This Row],[PROGRAMA ORIGEN]],PROGRAMAS_N[PROGRAMAS ORIGEN],PROGRAMAS_N[NIVEL],"")</f>
        <v>TECNÓLOGO</v>
      </c>
      <c r="D351" s="10" t="s">
        <v>145</v>
      </c>
      <c r="E351" s="14">
        <v>210101026</v>
      </c>
      <c r="F351" s="10" t="s">
        <v>569</v>
      </c>
      <c r="G351" s="10" t="str" cm="1">
        <f t="array" ref="G351">+_xlfn.XLOOKUP(Tabla9[[#This Row],[ESPACIO ACADÉMICO DESTINO]]&amp;Tabla9[[#This Row],[PROGRAMA DESTINO]],Tabla49[ESPACIO ACADÉMICO DESTINO]&amp;Tabla49[PROGRAMA],Tabla49[CÓDIGO],"")</f>
        <v/>
      </c>
      <c r="H351" s="10"/>
      <c r="I351" s="14" t="str" cm="1">
        <f t="array" ref="I351">+_xlfn.XLOOKUP(Tabla9[[#This Row],[ESPACIO ACADÉMICO DESTINO]]&amp;Tabla9[[#This Row],[PROGRAMA DESTINO]],Tabla49[ESPACIO ACADÉMICO DESTINO]&amp;Tabla49[PROGRAMA],Tabla49[CRÉDITOS],"")</f>
        <v/>
      </c>
      <c r="J351" s="14"/>
      <c r="K351" s="10" t="s">
        <v>107</v>
      </c>
      <c r="X351" s="52" t="s">
        <v>65</v>
      </c>
      <c r="Y351" s="8">
        <v>30510</v>
      </c>
      <c r="Z351" s="8" t="s">
        <v>302</v>
      </c>
      <c r="AA351" s="8">
        <v>3</v>
      </c>
    </row>
    <row r="352" spans="3:27" ht="45" x14ac:dyDescent="0.25">
      <c r="C352" s="1" t="str">
        <f>_xlfn.XLOOKUP(Tabla9[[#This Row],[PROGRAMA ORIGEN]],PROGRAMAS_N[PROGRAMAS ORIGEN],PROGRAMAS_N[NIVEL],"")</f>
        <v>TECNÓLOGO</v>
      </c>
      <c r="D352" s="10" t="s">
        <v>145</v>
      </c>
      <c r="E352" s="14">
        <v>210101004</v>
      </c>
      <c r="F352" s="10" t="s">
        <v>583</v>
      </c>
      <c r="G352" s="10" cm="1">
        <f t="array" ref="G352">+_xlfn.XLOOKUP(Tabla9[[#This Row],[ESPACIO ACADÉMICO DESTINO]]&amp;Tabla9[[#This Row],[PROGRAMA DESTINO]],Tabla49[ESPACIO ACADÉMICO DESTINO]&amp;Tabla49[PROGRAMA],Tabla49[CÓDIGO],"")</f>
        <v>73637</v>
      </c>
      <c r="H352" s="10" t="s">
        <v>584</v>
      </c>
      <c r="I352" s="14" cm="1">
        <f t="array" ref="I352">+_xlfn.XLOOKUP(Tabla9[[#This Row],[ESPACIO ACADÉMICO DESTINO]]&amp;Tabla9[[#This Row],[PROGRAMA DESTINO]],Tabla49[ESPACIO ACADÉMICO DESTINO]&amp;Tabla49[PROGRAMA],Tabla49[CRÉDITOS],"")</f>
        <v>3</v>
      </c>
      <c r="J352" s="14">
        <v>4.5</v>
      </c>
      <c r="K352" s="10" t="s">
        <v>107</v>
      </c>
      <c r="X352" s="52" t="s">
        <v>65</v>
      </c>
      <c r="Y352" s="8">
        <v>30511</v>
      </c>
      <c r="Z352" s="8" t="s">
        <v>585</v>
      </c>
      <c r="AA352" s="8">
        <v>3</v>
      </c>
    </row>
    <row r="353" spans="3:27" ht="45" x14ac:dyDescent="0.25">
      <c r="C353" s="1" t="str">
        <f>_xlfn.XLOOKUP(Tabla9[[#This Row],[PROGRAMA ORIGEN]],PROGRAMAS_N[PROGRAMAS ORIGEN],PROGRAMAS_N[NIVEL],"")</f>
        <v>TECNÓLOGO</v>
      </c>
      <c r="D353" s="10" t="s">
        <v>145</v>
      </c>
      <c r="E353" s="14">
        <v>210101040</v>
      </c>
      <c r="F353" s="10" t="s">
        <v>526</v>
      </c>
      <c r="G353" s="10" cm="1">
        <f t="array" ref="G353">+_xlfn.XLOOKUP(Tabla9[[#This Row],[ESPACIO ACADÉMICO DESTINO]]&amp;Tabla9[[#This Row],[PROGRAMA DESTINO]],Tabla49[ESPACIO ACADÉMICO DESTINO]&amp;Tabla49[PROGRAMA],Tabla49[CÓDIGO],"")</f>
        <v>73639</v>
      </c>
      <c r="H353" s="10" t="s">
        <v>441</v>
      </c>
      <c r="I353" s="14" cm="1">
        <f t="array" ref="I353">+_xlfn.XLOOKUP(Tabla9[[#This Row],[ESPACIO ACADÉMICO DESTINO]]&amp;Tabla9[[#This Row],[PROGRAMA DESTINO]],Tabla49[ESPACIO ACADÉMICO DESTINO]&amp;Tabla49[PROGRAMA],Tabla49[CRÉDITOS],"")</f>
        <v>2</v>
      </c>
      <c r="J353" s="14">
        <v>4.5</v>
      </c>
      <c r="K353" s="10" t="s">
        <v>107</v>
      </c>
      <c r="X353" s="52" t="s">
        <v>65</v>
      </c>
      <c r="Y353" s="8">
        <v>30512</v>
      </c>
      <c r="Z353" s="8" t="s">
        <v>199</v>
      </c>
      <c r="AA353" s="8">
        <v>2</v>
      </c>
    </row>
    <row r="354" spans="3:27" ht="45" x14ac:dyDescent="0.25">
      <c r="C354" s="1" t="str">
        <f>_xlfn.XLOOKUP(Tabla9[[#This Row],[PROGRAMA ORIGEN]],PROGRAMAS_N[PROGRAMAS ORIGEN],PROGRAMAS_N[NIVEL],"")</f>
        <v>TECNÓLOGO</v>
      </c>
      <c r="D354" s="10" t="s">
        <v>145</v>
      </c>
      <c r="E354" s="14">
        <v>210101024</v>
      </c>
      <c r="F354" s="10" t="s">
        <v>528</v>
      </c>
      <c r="G354" s="10" t="str" cm="1">
        <f t="array" ref="G354">+_xlfn.XLOOKUP(Tabla9[[#This Row],[ESPACIO ACADÉMICO DESTINO]]&amp;Tabla9[[#This Row],[PROGRAMA DESTINO]],Tabla49[ESPACIO ACADÉMICO DESTINO]&amp;Tabla49[PROGRAMA],Tabla49[CÓDIGO],"")</f>
        <v/>
      </c>
      <c r="H354" s="10"/>
      <c r="I354" s="14" t="str" cm="1">
        <f t="array" ref="I354">+_xlfn.XLOOKUP(Tabla9[[#This Row],[ESPACIO ACADÉMICO DESTINO]]&amp;Tabla9[[#This Row],[PROGRAMA DESTINO]],Tabla49[ESPACIO ACADÉMICO DESTINO]&amp;Tabla49[PROGRAMA],Tabla49[CRÉDITOS],"")</f>
        <v/>
      </c>
      <c r="J354" s="14"/>
      <c r="K354" s="10" t="s">
        <v>107</v>
      </c>
      <c r="X354" s="52" t="s">
        <v>65</v>
      </c>
      <c r="Y354" s="8">
        <v>30513</v>
      </c>
      <c r="Z354" s="8" t="s">
        <v>586</v>
      </c>
      <c r="AA354" s="8">
        <v>2</v>
      </c>
    </row>
    <row r="355" spans="3:27" ht="45" x14ac:dyDescent="0.25">
      <c r="C355" s="1" t="str">
        <f>_xlfn.XLOOKUP(Tabla9[[#This Row],[PROGRAMA ORIGEN]],PROGRAMAS_N[PROGRAMAS ORIGEN],PROGRAMAS_N[NIVEL],"")</f>
        <v>TECNÓLOGO</v>
      </c>
      <c r="D355" s="10" t="s">
        <v>145</v>
      </c>
      <c r="E355" s="14">
        <v>210101021</v>
      </c>
      <c r="F355" s="10" t="s">
        <v>530</v>
      </c>
      <c r="G355" s="10" cm="1">
        <f t="array" ref="G355">+_xlfn.XLOOKUP(Tabla9[[#This Row],[ESPACIO ACADÉMICO DESTINO]]&amp;Tabla9[[#This Row],[PROGRAMA DESTINO]],Tabla49[ESPACIO ACADÉMICO DESTINO]&amp;Tabla49[PROGRAMA],Tabla49[CÓDIGO],"")</f>
        <v>73643</v>
      </c>
      <c r="H355" s="10" t="s">
        <v>446</v>
      </c>
      <c r="I355" s="14" cm="1">
        <f t="array" ref="I355">+_xlfn.XLOOKUP(Tabla9[[#This Row],[ESPACIO ACADÉMICO DESTINO]]&amp;Tabla9[[#This Row],[PROGRAMA DESTINO]],Tabla49[ESPACIO ACADÉMICO DESTINO]&amp;Tabla49[PROGRAMA],Tabla49[CRÉDITOS],"")</f>
        <v>2</v>
      </c>
      <c r="J355" s="14">
        <v>4.5</v>
      </c>
      <c r="K355" s="10" t="s">
        <v>107</v>
      </c>
      <c r="X355" s="52" t="s">
        <v>65</v>
      </c>
      <c r="Y355" s="8">
        <v>30514</v>
      </c>
      <c r="Z355" s="8" t="s">
        <v>587</v>
      </c>
      <c r="AA355" s="8">
        <v>2</v>
      </c>
    </row>
    <row r="356" spans="3:27" ht="45" x14ac:dyDescent="0.25">
      <c r="C356" s="1" t="str">
        <f>_xlfn.XLOOKUP(Tabla9[[#This Row],[PROGRAMA ORIGEN]],PROGRAMAS_N[PROGRAMAS ORIGEN],PROGRAMAS_N[NIVEL],"")</f>
        <v>TECNÓLOGO</v>
      </c>
      <c r="D356" s="16" t="s">
        <v>164</v>
      </c>
      <c r="E356" s="14">
        <v>240201500</v>
      </c>
      <c r="F356" s="46" t="s">
        <v>144</v>
      </c>
      <c r="G356" s="10" cm="1">
        <f t="array" ref="G356">+_xlfn.XLOOKUP(Tabla9[[#This Row],[ESPACIO ACADÉMICO DESTINO]]&amp;Tabla9[[#This Row],[PROGRAMA DESTINO]],Tabla49[ESPACIO ACADÉMICO DESTINO]&amp;Tabla49[PROGRAMA],Tabla49[CÓDIGO],"")</f>
        <v>15135</v>
      </c>
      <c r="H356" s="10" t="s">
        <v>56</v>
      </c>
      <c r="I356" s="14" cm="1">
        <f t="array" ref="I356">+_xlfn.XLOOKUP(Tabla9[[#This Row],[ESPACIO ACADÉMICO DESTINO]]&amp;Tabla9[[#This Row],[PROGRAMA DESTINO]],Tabla49[ESPACIO ACADÉMICO DESTINO]&amp;Tabla49[PROGRAMA],Tabla49[CRÉDITOS],"")</f>
        <v>2</v>
      </c>
      <c r="J356" s="14">
        <v>4.5</v>
      </c>
      <c r="K356" s="10" t="s">
        <v>107</v>
      </c>
      <c r="X356" s="52" t="s">
        <v>65</v>
      </c>
      <c r="Y356" s="8">
        <v>30515</v>
      </c>
      <c r="Z356" s="8" t="s">
        <v>588</v>
      </c>
      <c r="AA356" s="8">
        <v>3</v>
      </c>
    </row>
    <row r="357" spans="3:27" ht="45" x14ac:dyDescent="0.25">
      <c r="C357" s="1" t="str">
        <f>_xlfn.XLOOKUP(Tabla9[[#This Row],[PROGRAMA ORIGEN]],PROGRAMAS_N[PROGRAMAS ORIGEN],PROGRAMAS_N[NIVEL],"")</f>
        <v>TECNÓLOGO</v>
      </c>
      <c r="D357" s="16" t="s">
        <v>164</v>
      </c>
      <c r="E357" s="14">
        <v>270502016</v>
      </c>
      <c r="F357" s="46" t="s">
        <v>589</v>
      </c>
      <c r="G357" s="10" cm="1">
        <f t="array" ref="G357">+_xlfn.XLOOKUP(Tabla9[[#This Row],[ESPACIO ACADÉMICO DESTINO]]&amp;Tabla9[[#This Row],[PROGRAMA DESTINO]],Tabla49[ESPACIO ACADÉMICO DESTINO]&amp;Tabla49[PROGRAMA],Tabla49[CÓDIGO],"")</f>
        <v>16690</v>
      </c>
      <c r="H357" s="10" t="s">
        <v>391</v>
      </c>
      <c r="I357" s="14" cm="1">
        <f t="array" ref="I357">+_xlfn.XLOOKUP(Tabla9[[#This Row],[ESPACIO ACADÉMICO DESTINO]]&amp;Tabla9[[#This Row],[PROGRAMA DESTINO]],Tabla49[ESPACIO ACADÉMICO DESTINO]&amp;Tabla49[PROGRAMA],Tabla49[CRÉDITOS],"")</f>
        <v>2</v>
      </c>
      <c r="J357" s="14">
        <v>4.5</v>
      </c>
      <c r="K357" s="10" t="s">
        <v>107</v>
      </c>
      <c r="X357" s="52" t="s">
        <v>65</v>
      </c>
      <c r="Y357" s="8">
        <v>30516</v>
      </c>
      <c r="Z357" s="8" t="s">
        <v>128</v>
      </c>
      <c r="AA357" s="8">
        <v>3</v>
      </c>
    </row>
    <row r="358" spans="3:27" ht="45" x14ac:dyDescent="0.25">
      <c r="C358" s="1" t="str">
        <f>_xlfn.XLOOKUP(Tabla9[[#This Row],[PROGRAMA ORIGEN]],PROGRAMAS_N[PROGRAMAS ORIGEN],PROGRAMAS_N[NIVEL],"")</f>
        <v>TECNÓLOGO</v>
      </c>
      <c r="D358" s="16" t="s">
        <v>164</v>
      </c>
      <c r="E358" s="14">
        <v>291201032</v>
      </c>
      <c r="F358" s="46" t="s">
        <v>590</v>
      </c>
      <c r="G358" s="10" cm="1">
        <f t="array" ref="G358">+_xlfn.XLOOKUP(Tabla9[[#This Row],[ESPACIO ACADÉMICO DESTINO]]&amp;Tabla9[[#This Row],[PROGRAMA DESTINO]],Tabla49[ESPACIO ACADÉMICO DESTINO]&amp;Tabla49[PROGRAMA],Tabla49[CÓDIGO],"")</f>
        <v>73632</v>
      </c>
      <c r="H358" s="10" t="s">
        <v>591</v>
      </c>
      <c r="I358" s="14" cm="1">
        <f t="array" ref="I358">+_xlfn.XLOOKUP(Tabla9[[#This Row],[ESPACIO ACADÉMICO DESTINO]]&amp;Tabla9[[#This Row],[PROGRAMA DESTINO]],Tabla49[ESPACIO ACADÉMICO DESTINO]&amp;Tabla49[PROGRAMA],Tabla49[CRÉDITOS],"")</f>
        <v>3</v>
      </c>
      <c r="J358" s="14">
        <v>4.5</v>
      </c>
      <c r="K358" s="10" t="s">
        <v>107</v>
      </c>
      <c r="X358" s="52" t="s">
        <v>65</v>
      </c>
      <c r="Y358" s="8">
        <v>30517</v>
      </c>
      <c r="Z358" s="8" t="s">
        <v>304</v>
      </c>
      <c r="AA358" s="8">
        <v>3</v>
      </c>
    </row>
    <row r="359" spans="3:27" ht="45" x14ac:dyDescent="0.25">
      <c r="C359" s="1" t="str">
        <f>_xlfn.XLOOKUP(Tabla9[[#This Row],[PROGRAMA ORIGEN]],PROGRAMAS_N[PROGRAMAS ORIGEN],PROGRAMAS_N[NIVEL],"")</f>
        <v>TECNÓLOGO</v>
      </c>
      <c r="D359" s="16" t="s">
        <v>164</v>
      </c>
      <c r="E359" s="14">
        <v>291201030</v>
      </c>
      <c r="F359" s="46" t="s">
        <v>592</v>
      </c>
      <c r="G359" s="10" t="str" cm="1">
        <f t="array" ref="G359">+_xlfn.XLOOKUP(Tabla9[[#This Row],[ESPACIO ACADÉMICO DESTINO]]&amp;Tabla9[[#This Row],[PROGRAMA DESTINO]],Tabla49[ESPACIO ACADÉMICO DESTINO]&amp;Tabla49[PROGRAMA],Tabla49[CÓDIGO],"")</f>
        <v/>
      </c>
      <c r="H359" s="10"/>
      <c r="I359" s="14" t="str" cm="1">
        <f t="array" ref="I359">+_xlfn.XLOOKUP(Tabla9[[#This Row],[ESPACIO ACADÉMICO DESTINO]]&amp;Tabla9[[#This Row],[PROGRAMA DESTINO]],Tabla49[ESPACIO ACADÉMICO DESTINO]&amp;Tabla49[PROGRAMA],Tabla49[CRÉDITOS],"")</f>
        <v/>
      </c>
      <c r="J359" s="14"/>
      <c r="K359" s="10" t="s">
        <v>107</v>
      </c>
      <c r="X359" s="52" t="s">
        <v>65</v>
      </c>
      <c r="Y359" s="8">
        <v>30518</v>
      </c>
      <c r="Z359" s="8" t="s">
        <v>593</v>
      </c>
      <c r="AA359" s="8">
        <v>10</v>
      </c>
    </row>
    <row r="360" spans="3:27" ht="45" x14ac:dyDescent="0.25">
      <c r="C360" s="1" t="str">
        <f>_xlfn.XLOOKUP(Tabla9[[#This Row],[PROGRAMA ORIGEN]],PROGRAMAS_N[PROGRAMAS ORIGEN],PROGRAMAS_N[NIVEL],"")</f>
        <v>TECNÓLOGO</v>
      </c>
      <c r="D360" s="16" t="s">
        <v>164</v>
      </c>
      <c r="E360" s="14">
        <v>210101004</v>
      </c>
      <c r="F360" s="46" t="s">
        <v>583</v>
      </c>
      <c r="G360" s="10" cm="1">
        <f t="array" ref="G360">+_xlfn.XLOOKUP(Tabla9[[#This Row],[ESPACIO ACADÉMICO DESTINO]]&amp;Tabla9[[#This Row],[PROGRAMA DESTINO]],Tabla49[ESPACIO ACADÉMICO DESTINO]&amp;Tabla49[PROGRAMA],Tabla49[CÓDIGO],"")</f>
        <v>73637</v>
      </c>
      <c r="H360" s="10" t="s">
        <v>594</v>
      </c>
      <c r="I360" s="14" cm="1">
        <f t="array" ref="I360">+_xlfn.XLOOKUP(Tabla9[[#This Row],[ESPACIO ACADÉMICO DESTINO]]&amp;Tabla9[[#This Row],[PROGRAMA DESTINO]],Tabla49[ESPACIO ACADÉMICO DESTINO]&amp;Tabla49[PROGRAMA],Tabla49[CRÉDITOS],"")</f>
        <v>3</v>
      </c>
      <c r="J360" s="14">
        <v>4.5</v>
      </c>
      <c r="K360" s="10" t="s">
        <v>107</v>
      </c>
      <c r="X360" s="52" t="s">
        <v>65</v>
      </c>
      <c r="Y360" s="8">
        <v>30519</v>
      </c>
      <c r="Z360" s="8" t="s">
        <v>311</v>
      </c>
      <c r="AA360" s="8">
        <v>3</v>
      </c>
    </row>
    <row r="361" spans="3:27" ht="45" x14ac:dyDescent="0.25">
      <c r="C361" s="1" t="str">
        <f>_xlfn.XLOOKUP(Tabla9[[#This Row],[PROGRAMA ORIGEN]],PROGRAMAS_N[PROGRAMAS ORIGEN],PROGRAMAS_N[NIVEL],"")</f>
        <v>TECNÓLOGO</v>
      </c>
      <c r="D361" s="16" t="s">
        <v>164</v>
      </c>
      <c r="E361" s="14">
        <v>291101022</v>
      </c>
      <c r="F361" s="46" t="s">
        <v>595</v>
      </c>
      <c r="G361" s="10" cm="1">
        <f t="array" ref="G361">+_xlfn.XLOOKUP(Tabla9[[#This Row],[ESPACIO ACADÉMICO DESTINO]]&amp;Tabla9[[#This Row],[PROGRAMA DESTINO]],Tabla49[ESPACIO ACADÉMICO DESTINO]&amp;Tabla49[PROGRAMA],Tabla49[CÓDIGO],"")</f>
        <v>73634</v>
      </c>
      <c r="H361" s="10" t="s">
        <v>433</v>
      </c>
      <c r="I361" s="14" cm="1">
        <f t="array" ref="I361">+_xlfn.XLOOKUP(Tabla9[[#This Row],[ESPACIO ACADÉMICO DESTINO]]&amp;Tabla9[[#This Row],[PROGRAMA DESTINO]],Tabla49[ESPACIO ACADÉMICO DESTINO]&amp;Tabla49[PROGRAMA],Tabla49[CRÉDITOS],"")</f>
        <v>3</v>
      </c>
      <c r="J361" s="14">
        <v>4.5</v>
      </c>
      <c r="K361" s="10" t="s">
        <v>107</v>
      </c>
      <c r="X361" s="52" t="s">
        <v>65</v>
      </c>
      <c r="Y361" s="8">
        <v>30520</v>
      </c>
      <c r="Z361" s="8" t="s">
        <v>307</v>
      </c>
      <c r="AA361" s="8">
        <v>4</v>
      </c>
    </row>
    <row r="362" spans="3:27" ht="45" x14ac:dyDescent="0.25">
      <c r="C362" s="1" t="str">
        <f>_xlfn.XLOOKUP(Tabla9[[#This Row],[PROGRAMA ORIGEN]],PROGRAMAS_N[PROGRAMAS ORIGEN],PROGRAMAS_N[NIVEL],"")</f>
        <v>TECNÓLOGO</v>
      </c>
      <c r="D362" s="16" t="s">
        <v>164</v>
      </c>
      <c r="E362" s="14">
        <v>291101020</v>
      </c>
      <c r="F362" s="46" t="s">
        <v>596</v>
      </c>
      <c r="G362" s="10" t="str" cm="1">
        <f t="array" ref="G362">+_xlfn.XLOOKUP(Tabla9[[#This Row],[ESPACIO ACADÉMICO DESTINO]]&amp;Tabla9[[#This Row],[PROGRAMA DESTINO]],Tabla49[ESPACIO ACADÉMICO DESTINO]&amp;Tabla49[PROGRAMA],Tabla49[CÓDIGO],"")</f>
        <v/>
      </c>
      <c r="H362" s="10"/>
      <c r="I362" s="14" t="str" cm="1">
        <f t="array" ref="I362">+_xlfn.XLOOKUP(Tabla9[[#This Row],[ESPACIO ACADÉMICO DESTINO]]&amp;Tabla9[[#This Row],[PROGRAMA DESTINO]],Tabla49[ESPACIO ACADÉMICO DESTINO]&amp;Tabla49[PROGRAMA],Tabla49[CRÉDITOS],"")</f>
        <v/>
      </c>
      <c r="J362" s="14"/>
      <c r="K362" s="10" t="s">
        <v>107</v>
      </c>
      <c r="X362" s="52" t="s">
        <v>93</v>
      </c>
      <c r="Y362" s="8">
        <v>96110</v>
      </c>
      <c r="Z362" s="8" t="s">
        <v>240</v>
      </c>
      <c r="AA362" s="8">
        <v>2</v>
      </c>
    </row>
    <row r="363" spans="3:27" ht="45" x14ac:dyDescent="0.25">
      <c r="C363" s="1" t="str">
        <f>_xlfn.XLOOKUP(Tabla9[[#This Row],[PROGRAMA ORIGEN]],PROGRAMAS_N[PROGRAMAS ORIGEN],PROGRAMAS_N[NIVEL],"")</f>
        <v>TECNÓLOGO</v>
      </c>
      <c r="D363" s="16" t="s">
        <v>190</v>
      </c>
      <c r="E363" s="14">
        <v>240201500</v>
      </c>
      <c r="F363" s="10" t="s">
        <v>508</v>
      </c>
      <c r="G363" s="10" cm="1">
        <f t="array" ref="G363">+_xlfn.XLOOKUP(Tabla9[[#This Row],[ESPACIO ACADÉMICO DESTINO]]&amp;Tabla9[[#This Row],[PROGRAMA DESTINO]],Tabla49[ESPACIO ACADÉMICO DESTINO]&amp;Tabla49[PROGRAMA],Tabla49[CÓDIGO],"")</f>
        <v>15135</v>
      </c>
      <c r="H363" s="10" t="s">
        <v>56</v>
      </c>
      <c r="I363" s="14" cm="1">
        <f t="array" ref="I363">+_xlfn.XLOOKUP(Tabla9[[#This Row],[ESPACIO ACADÉMICO DESTINO]]&amp;Tabla9[[#This Row],[PROGRAMA DESTINO]],Tabla49[ESPACIO ACADÉMICO DESTINO]&amp;Tabla49[PROGRAMA],Tabla49[CRÉDITOS],"")</f>
        <v>2</v>
      </c>
      <c r="J363" s="14">
        <v>4.5</v>
      </c>
      <c r="K363" s="10" t="s">
        <v>107</v>
      </c>
      <c r="X363" s="52" t="s">
        <v>93</v>
      </c>
      <c r="Y363" s="8">
        <v>96201</v>
      </c>
      <c r="Z363" s="8" t="s">
        <v>242</v>
      </c>
      <c r="AA363" s="8">
        <v>3</v>
      </c>
    </row>
    <row r="364" spans="3:27" ht="45" x14ac:dyDescent="0.25">
      <c r="C364" s="1" t="str">
        <f>_xlfn.XLOOKUP(Tabla9[[#This Row],[PROGRAMA ORIGEN]],PROGRAMAS_N[PROGRAMAS ORIGEN],PROGRAMAS_N[NIVEL],"")</f>
        <v>TECNÓLOGO</v>
      </c>
      <c r="D364" s="16" t="s">
        <v>190</v>
      </c>
      <c r="E364" s="14">
        <v>210101005</v>
      </c>
      <c r="F364" s="10" t="s">
        <v>510</v>
      </c>
      <c r="G364" s="10" cm="1">
        <f t="array" ref="G364">+_xlfn.XLOOKUP(Tabla9[[#This Row],[ESPACIO ACADÉMICO DESTINO]]&amp;Tabla9[[#This Row],[PROGRAMA DESTINO]],Tabla49[ESPACIO ACADÉMICO DESTINO]&amp;Tabla49[PROGRAMA],Tabla49[CÓDIGO],"")</f>
        <v>16690</v>
      </c>
      <c r="H364" s="10" t="s">
        <v>391</v>
      </c>
      <c r="I364" s="14" cm="1">
        <f t="array" ref="I364">+_xlfn.XLOOKUP(Tabla9[[#This Row],[ESPACIO ACADÉMICO DESTINO]]&amp;Tabla9[[#This Row],[PROGRAMA DESTINO]],Tabla49[ESPACIO ACADÉMICO DESTINO]&amp;Tabla49[PROGRAMA],Tabla49[CRÉDITOS],"")</f>
        <v>2</v>
      </c>
      <c r="J364" s="14">
        <v>4.5</v>
      </c>
      <c r="K364" s="10" t="s">
        <v>107</v>
      </c>
      <c r="X364" s="52" t="s">
        <v>93</v>
      </c>
      <c r="Y364" s="8">
        <v>10103</v>
      </c>
      <c r="Z364" s="8" t="s">
        <v>321</v>
      </c>
      <c r="AA364" s="8">
        <v>3</v>
      </c>
    </row>
    <row r="365" spans="3:27" ht="45" x14ac:dyDescent="0.25">
      <c r="C365" s="1" t="str">
        <f>_xlfn.XLOOKUP(Tabla9[[#This Row],[PROGRAMA ORIGEN]],PROGRAMAS_N[PROGRAMAS ORIGEN],PROGRAMAS_N[NIVEL],"")</f>
        <v>TECNÓLOGO</v>
      </c>
      <c r="D365" s="16" t="s">
        <v>190</v>
      </c>
      <c r="E365" s="14">
        <v>210601009</v>
      </c>
      <c r="F365" s="10" t="s">
        <v>597</v>
      </c>
      <c r="G365" s="10" t="str" cm="1">
        <f t="array" ref="G365">+_xlfn.XLOOKUP(Tabla9[[#This Row],[ESPACIO ACADÉMICO DESTINO]]&amp;Tabla9[[#This Row],[PROGRAMA DESTINO]],Tabla49[ESPACIO ACADÉMICO DESTINO]&amp;Tabla49[PROGRAMA],Tabla49[CÓDIGO],"")</f>
        <v/>
      </c>
      <c r="H365" s="10"/>
      <c r="I365" s="14" t="str" cm="1">
        <f t="array" ref="I365">+_xlfn.XLOOKUP(Tabla9[[#This Row],[ESPACIO ACADÉMICO DESTINO]]&amp;Tabla9[[#This Row],[PROGRAMA DESTINO]],Tabla49[ESPACIO ACADÉMICO DESTINO]&amp;Tabla49[PROGRAMA],Tabla49[CRÉDITOS],"")</f>
        <v/>
      </c>
      <c r="J365" s="14"/>
      <c r="K365" s="10" t="s">
        <v>107</v>
      </c>
      <c r="X365" s="52" t="s">
        <v>93</v>
      </c>
      <c r="Y365" s="8">
        <v>30103</v>
      </c>
      <c r="Z365" s="8" t="s">
        <v>497</v>
      </c>
      <c r="AA365" s="8">
        <v>4</v>
      </c>
    </row>
    <row r="366" spans="3:27" ht="45" x14ac:dyDescent="0.25">
      <c r="C366" s="1" t="str">
        <f>_xlfn.XLOOKUP(Tabla9[[#This Row],[PROGRAMA ORIGEN]],PROGRAMAS_N[PROGRAMAS ORIGEN],PROGRAMAS_N[NIVEL],"")</f>
        <v>TECNÓLOGO</v>
      </c>
      <c r="D366" s="16" t="s">
        <v>190</v>
      </c>
      <c r="E366" s="14">
        <v>210601013</v>
      </c>
      <c r="F366" s="10" t="s">
        <v>598</v>
      </c>
      <c r="G366" s="10" cm="1">
        <f t="array" ref="G366">+_xlfn.XLOOKUP(Tabla9[[#This Row],[ESPACIO ACADÉMICO DESTINO]]&amp;Tabla9[[#This Row],[PROGRAMA DESTINO]],Tabla49[ESPACIO ACADÉMICO DESTINO]&amp;Tabla49[PROGRAMA],Tabla49[CÓDIGO],"")</f>
        <v>73621</v>
      </c>
      <c r="H366" s="10" t="s">
        <v>400</v>
      </c>
      <c r="I366" s="14" cm="1">
        <f t="array" ref="I366">+_xlfn.XLOOKUP(Tabla9[[#This Row],[ESPACIO ACADÉMICO DESTINO]]&amp;Tabla9[[#This Row],[PROGRAMA DESTINO]],Tabla49[ESPACIO ACADÉMICO DESTINO]&amp;Tabla49[PROGRAMA],Tabla49[CRÉDITOS],"")</f>
        <v>2</v>
      </c>
      <c r="J366" s="14">
        <v>4.5</v>
      </c>
      <c r="K366" s="10" t="s">
        <v>107</v>
      </c>
      <c r="X366" s="52" t="s">
        <v>93</v>
      </c>
      <c r="Y366" s="8">
        <v>95108</v>
      </c>
      <c r="Z366" s="8" t="s">
        <v>101</v>
      </c>
      <c r="AA366" s="8">
        <v>2</v>
      </c>
    </row>
    <row r="367" spans="3:27" ht="45" x14ac:dyDescent="0.25">
      <c r="C367" s="1" t="str">
        <f>_xlfn.XLOOKUP(Tabla9[[#This Row],[PROGRAMA ORIGEN]],PROGRAMAS_N[PROGRAMAS ORIGEN],PROGRAMAS_N[NIVEL],"")</f>
        <v>TECNÓLOGO</v>
      </c>
      <c r="D367" s="16" t="s">
        <v>190</v>
      </c>
      <c r="E367" s="14">
        <v>260101016</v>
      </c>
      <c r="F367" s="10" t="s">
        <v>599</v>
      </c>
      <c r="G367" s="10" cm="1">
        <f t="array" ref="G367">+_xlfn.XLOOKUP(Tabla9[[#This Row],[ESPACIO ACADÉMICO DESTINO]]&amp;Tabla9[[#This Row],[PROGRAMA DESTINO]],Tabla49[ESPACIO ACADÉMICO DESTINO]&amp;Tabla49[PROGRAMA],Tabla49[CÓDIGO],"")</f>
        <v>73349</v>
      </c>
      <c r="H367" s="10" t="s">
        <v>408</v>
      </c>
      <c r="I367" s="14" cm="1">
        <f t="array" ref="I367">+_xlfn.XLOOKUP(Tabla9[[#This Row],[ESPACIO ACADÉMICO DESTINO]]&amp;Tabla9[[#This Row],[PROGRAMA DESTINO]],Tabla49[ESPACIO ACADÉMICO DESTINO]&amp;Tabla49[PROGRAMA],Tabla49[CRÉDITOS],"")</f>
        <v>2</v>
      </c>
      <c r="J367" s="14">
        <v>4.5</v>
      </c>
      <c r="K367" s="10" t="s">
        <v>107</v>
      </c>
      <c r="X367" s="52" t="s">
        <v>93</v>
      </c>
      <c r="Y367" s="8">
        <v>95213</v>
      </c>
      <c r="Z367" s="8" t="s">
        <v>600</v>
      </c>
      <c r="AA367" s="8">
        <v>1</v>
      </c>
    </row>
    <row r="368" spans="3:27" ht="45" x14ac:dyDescent="0.25">
      <c r="C368" s="1" t="str">
        <f>_xlfn.XLOOKUP(Tabla9[[#This Row],[PROGRAMA ORIGEN]],PROGRAMAS_N[PROGRAMAS ORIGEN],PROGRAMAS_N[NIVEL],"")</f>
        <v>TECNÓLOGO</v>
      </c>
      <c r="D368" s="16" t="s">
        <v>190</v>
      </c>
      <c r="E368" s="14">
        <v>260101001</v>
      </c>
      <c r="F368" s="10" t="s">
        <v>559</v>
      </c>
      <c r="G368" s="10" cm="1">
        <f t="array" ref="G368">+_xlfn.XLOOKUP(Tabla9[[#This Row],[ESPACIO ACADÉMICO DESTINO]]&amp;Tabla9[[#This Row],[PROGRAMA DESTINO]],Tabla49[ESPACIO ACADÉMICO DESTINO]&amp;Tabla49[PROGRAMA],Tabla49[CÓDIGO],"")</f>
        <v>73623</v>
      </c>
      <c r="H368" s="10" t="s">
        <v>409</v>
      </c>
      <c r="I368" s="14" cm="1">
        <f t="array" ref="I368">+_xlfn.XLOOKUP(Tabla9[[#This Row],[ESPACIO ACADÉMICO DESTINO]]&amp;Tabla9[[#This Row],[PROGRAMA DESTINO]],Tabla49[ESPACIO ACADÉMICO DESTINO]&amp;Tabla49[PROGRAMA],Tabla49[CRÉDITOS],"")</f>
        <v>2</v>
      </c>
      <c r="J368" s="14">
        <v>4.5</v>
      </c>
      <c r="K368" s="10" t="s">
        <v>107</v>
      </c>
      <c r="X368" s="52" t="s">
        <v>93</v>
      </c>
      <c r="Y368" s="8">
        <v>96111</v>
      </c>
      <c r="Z368" s="8" t="s">
        <v>247</v>
      </c>
      <c r="AA368" s="8">
        <v>3</v>
      </c>
    </row>
    <row r="369" spans="3:27" ht="45" x14ac:dyDescent="0.25">
      <c r="C369" s="1" t="str">
        <f>_xlfn.XLOOKUP(Tabla9[[#This Row],[PROGRAMA ORIGEN]],PROGRAMAS_N[PROGRAMAS ORIGEN],PROGRAMAS_N[NIVEL],"")</f>
        <v>TECNÓLOGO</v>
      </c>
      <c r="D369" s="16" t="s">
        <v>190</v>
      </c>
      <c r="E369" s="14" t="s">
        <v>535</v>
      </c>
      <c r="F369" s="10" t="s">
        <v>601</v>
      </c>
      <c r="G369" s="10" t="str" cm="1">
        <f t="array" ref="G369">+_xlfn.XLOOKUP(Tabla9[[#This Row],[ESPACIO ACADÉMICO DESTINO]]&amp;Tabla9[[#This Row],[PROGRAMA DESTINO]],Tabla49[ESPACIO ACADÉMICO DESTINO]&amp;Tabla49[PROGRAMA],Tabla49[CÓDIGO],"")</f>
        <v/>
      </c>
      <c r="H369" s="10"/>
      <c r="I369" s="14" t="str" cm="1">
        <f t="array" ref="I369">+_xlfn.XLOOKUP(Tabla9[[#This Row],[ESPACIO ACADÉMICO DESTINO]]&amp;Tabla9[[#This Row],[PROGRAMA DESTINO]],Tabla49[ESPACIO ACADÉMICO DESTINO]&amp;Tabla49[PROGRAMA],Tabla49[CRÉDITOS],"")</f>
        <v/>
      </c>
      <c r="J369" s="14"/>
      <c r="K369" s="10" t="s">
        <v>107</v>
      </c>
      <c r="X369" s="52" t="s">
        <v>93</v>
      </c>
      <c r="Y369" s="8">
        <v>96112</v>
      </c>
      <c r="Z369" s="8" t="s">
        <v>235</v>
      </c>
      <c r="AA369" s="8">
        <v>3</v>
      </c>
    </row>
    <row r="370" spans="3:27" ht="45" x14ac:dyDescent="0.25">
      <c r="C370" s="1" t="str">
        <f>_xlfn.XLOOKUP(Tabla9[[#This Row],[PROGRAMA ORIGEN]],PROGRAMAS_N[PROGRAMAS ORIGEN],PROGRAMAS_N[NIVEL],"")</f>
        <v>TECNÓLOGO</v>
      </c>
      <c r="D370" s="16" t="s">
        <v>190</v>
      </c>
      <c r="E370" s="14">
        <v>210601008</v>
      </c>
      <c r="F370" s="10" t="s">
        <v>519</v>
      </c>
      <c r="G370" s="10" cm="1">
        <f t="array" ref="G370">+_xlfn.XLOOKUP(Tabla9[[#This Row],[ESPACIO ACADÉMICO DESTINO]]&amp;Tabla9[[#This Row],[PROGRAMA DESTINO]],Tabla49[ESPACIO ACADÉMICO DESTINO]&amp;Tabla49[PROGRAMA],Tabla49[CÓDIGO],"")</f>
        <v>31038</v>
      </c>
      <c r="H370" s="10" t="s">
        <v>407</v>
      </c>
      <c r="I370" s="14" cm="1">
        <f t="array" ref="I370">+_xlfn.XLOOKUP(Tabla9[[#This Row],[ESPACIO ACADÉMICO DESTINO]]&amp;Tabla9[[#This Row],[PROGRAMA DESTINO]],Tabla49[ESPACIO ACADÉMICO DESTINO]&amp;Tabla49[PROGRAMA],Tabla49[CRÉDITOS],"")</f>
        <v>2</v>
      </c>
      <c r="J370" s="14">
        <v>4.5</v>
      </c>
      <c r="K370" s="10" t="s">
        <v>107</v>
      </c>
      <c r="X370" s="52" t="s">
        <v>93</v>
      </c>
      <c r="Y370" s="8">
        <v>96113</v>
      </c>
      <c r="Z370" s="8" t="s">
        <v>249</v>
      </c>
      <c r="AA370" s="8">
        <v>3</v>
      </c>
    </row>
    <row r="371" spans="3:27" ht="45" x14ac:dyDescent="0.25">
      <c r="C371" s="1" t="str">
        <f>_xlfn.XLOOKUP(Tabla9[[#This Row],[PROGRAMA ORIGEN]],PROGRAMAS_N[PROGRAMAS ORIGEN],PROGRAMAS_N[NIVEL],"")</f>
        <v>TECNÓLOGO</v>
      </c>
      <c r="D371" s="16" t="s">
        <v>190</v>
      </c>
      <c r="E371" s="14">
        <v>210601014</v>
      </c>
      <c r="F371" s="10" t="s">
        <v>602</v>
      </c>
      <c r="G371" s="10" cm="1">
        <f t="array" ref="G371">+_xlfn.XLOOKUP(Tabla9[[#This Row],[ESPACIO ACADÉMICO DESTINO]]&amp;Tabla9[[#This Row],[PROGRAMA DESTINO]],Tabla49[ESPACIO ACADÉMICO DESTINO]&amp;Tabla49[PROGRAMA],Tabla49[CÓDIGO],"")</f>
        <v>16916</v>
      </c>
      <c r="H371" s="10" t="s">
        <v>417</v>
      </c>
      <c r="I371" s="14" cm="1">
        <f t="array" ref="I371">+_xlfn.XLOOKUP(Tabla9[[#This Row],[ESPACIO ACADÉMICO DESTINO]]&amp;Tabla9[[#This Row],[PROGRAMA DESTINO]],Tabla49[ESPACIO ACADÉMICO DESTINO]&amp;Tabla49[PROGRAMA],Tabla49[CRÉDITOS],"")</f>
        <v>3</v>
      </c>
      <c r="J371" s="14">
        <v>4.5</v>
      </c>
      <c r="K371" s="10" t="s">
        <v>107</v>
      </c>
      <c r="X371" s="52" t="s">
        <v>93</v>
      </c>
      <c r="Y371" s="8">
        <v>10107</v>
      </c>
      <c r="Z371" s="8" t="s">
        <v>489</v>
      </c>
      <c r="AA371" s="8">
        <v>4</v>
      </c>
    </row>
    <row r="372" spans="3:27" ht="45" x14ac:dyDescent="0.25">
      <c r="C372" s="1" t="str">
        <f>_xlfn.XLOOKUP(Tabla9[[#This Row],[PROGRAMA ORIGEN]],PROGRAMAS_N[PROGRAMAS ORIGEN],PROGRAMAS_N[NIVEL],"")</f>
        <v>TECNÓLOGO</v>
      </c>
      <c r="D372" s="16" t="s">
        <v>167</v>
      </c>
      <c r="E372" s="14">
        <v>240201500</v>
      </c>
      <c r="F372" s="10" t="s">
        <v>508</v>
      </c>
      <c r="G372" s="10" cm="1">
        <f t="array" ref="G372">+_xlfn.XLOOKUP(Tabla9[[#This Row],[ESPACIO ACADÉMICO DESTINO]]&amp;Tabla9[[#This Row],[PROGRAMA DESTINO]],Tabla49[ESPACIO ACADÉMICO DESTINO]&amp;Tabla49[PROGRAMA],Tabla49[CÓDIGO],"")</f>
        <v>15135</v>
      </c>
      <c r="H372" s="10" t="s">
        <v>56</v>
      </c>
      <c r="I372" s="14" cm="1">
        <f t="array" ref="I372">+_xlfn.XLOOKUP(Tabla9[[#This Row],[ESPACIO ACADÉMICO DESTINO]]&amp;Tabla9[[#This Row],[PROGRAMA DESTINO]],Tabla49[ESPACIO ACADÉMICO DESTINO]&amp;Tabla49[PROGRAMA],Tabla49[CRÉDITOS],"")</f>
        <v>2</v>
      </c>
      <c r="J372" s="14">
        <v>4.5</v>
      </c>
      <c r="K372" s="10" t="s">
        <v>107</v>
      </c>
      <c r="X372" s="52" t="s">
        <v>93</v>
      </c>
      <c r="Y372" s="8">
        <v>95109</v>
      </c>
      <c r="Z372" s="8" t="s">
        <v>136</v>
      </c>
      <c r="AA372" s="8">
        <v>2</v>
      </c>
    </row>
    <row r="373" spans="3:27" ht="45" x14ac:dyDescent="0.25">
      <c r="C373" s="1" t="str">
        <f>_xlfn.XLOOKUP(Tabla9[[#This Row],[PROGRAMA ORIGEN]],PROGRAMAS_N[PROGRAMAS ORIGEN],PROGRAMAS_N[NIVEL],"")</f>
        <v>TECNÓLOGO</v>
      </c>
      <c r="D373" s="16" t="s">
        <v>167</v>
      </c>
      <c r="E373" s="14">
        <v>210101005</v>
      </c>
      <c r="F373" s="10" t="s">
        <v>510</v>
      </c>
      <c r="G373" s="10" cm="1">
        <f t="array" ref="G373">+_xlfn.XLOOKUP(Tabla9[[#This Row],[ESPACIO ACADÉMICO DESTINO]]&amp;Tabla9[[#This Row],[PROGRAMA DESTINO]],Tabla49[ESPACIO ACADÉMICO DESTINO]&amp;Tabla49[PROGRAMA],Tabla49[CÓDIGO],"")</f>
        <v>16690</v>
      </c>
      <c r="H373" s="10" t="s">
        <v>391</v>
      </c>
      <c r="I373" s="14" cm="1">
        <f t="array" ref="I373">+_xlfn.XLOOKUP(Tabla9[[#This Row],[ESPACIO ACADÉMICO DESTINO]]&amp;Tabla9[[#This Row],[PROGRAMA DESTINO]],Tabla49[ESPACIO ACADÉMICO DESTINO]&amp;Tabla49[PROGRAMA],Tabla49[CRÉDITOS],"")</f>
        <v>2</v>
      </c>
      <c r="J373" s="14">
        <v>4.5</v>
      </c>
      <c r="K373" s="10" t="s">
        <v>107</v>
      </c>
      <c r="X373" s="52" t="s">
        <v>93</v>
      </c>
      <c r="Y373" s="8">
        <v>95214</v>
      </c>
      <c r="Z373" s="8" t="s">
        <v>603</v>
      </c>
      <c r="AA373" s="8">
        <v>1</v>
      </c>
    </row>
    <row r="374" spans="3:27" ht="45" x14ac:dyDescent="0.25">
      <c r="C374" s="1" t="str">
        <f>_xlfn.XLOOKUP(Tabla9[[#This Row],[PROGRAMA ORIGEN]],PROGRAMAS_N[PROGRAMAS ORIGEN],PROGRAMAS_N[NIVEL],"")</f>
        <v>TECNÓLOGO</v>
      </c>
      <c r="D374" s="16" t="s">
        <v>167</v>
      </c>
      <c r="E374" s="14">
        <v>260101021</v>
      </c>
      <c r="F374" s="10" t="s">
        <v>564</v>
      </c>
      <c r="G374" s="10" t="str" cm="1">
        <f t="array" ref="G374">+_xlfn.XLOOKUP(Tabla9[[#This Row],[ESPACIO ACADÉMICO DESTINO]]&amp;Tabla9[[#This Row],[PROGRAMA DESTINO]],Tabla49[ESPACIO ACADÉMICO DESTINO]&amp;Tabla49[PROGRAMA],Tabla49[CÓDIGO],"")</f>
        <v/>
      </c>
      <c r="H374" s="10"/>
      <c r="I374" s="14" t="str" cm="1">
        <f t="array" ref="I374">+_xlfn.XLOOKUP(Tabla9[[#This Row],[ESPACIO ACADÉMICO DESTINO]]&amp;Tabla9[[#This Row],[PROGRAMA DESTINO]],Tabla49[ESPACIO ACADÉMICO DESTINO]&amp;Tabla49[PROGRAMA],Tabla49[CRÉDITOS],"")</f>
        <v/>
      </c>
      <c r="J374" s="14"/>
      <c r="K374" s="10" t="s">
        <v>107</v>
      </c>
      <c r="X374" s="52" t="s">
        <v>93</v>
      </c>
      <c r="Y374" s="8">
        <v>96115</v>
      </c>
      <c r="Z374" s="8" t="s">
        <v>256</v>
      </c>
      <c r="AA374" s="8">
        <v>3</v>
      </c>
    </row>
    <row r="375" spans="3:27" ht="45" x14ac:dyDescent="0.25">
      <c r="C375" s="1" t="str">
        <f>_xlfn.XLOOKUP(Tabla9[[#This Row],[PROGRAMA ORIGEN]],PROGRAMAS_N[PROGRAMAS ORIGEN],PROGRAMAS_N[NIVEL],"")</f>
        <v>TECNÓLOGO</v>
      </c>
      <c r="D375" s="16" t="s">
        <v>167</v>
      </c>
      <c r="E375" s="14">
        <v>260101032</v>
      </c>
      <c r="F375" s="10" t="s">
        <v>604</v>
      </c>
      <c r="G375" s="10" cm="1">
        <f t="array" ref="G375">+_xlfn.XLOOKUP(Tabla9[[#This Row],[ESPACIO ACADÉMICO DESTINO]]&amp;Tabla9[[#This Row],[PROGRAMA DESTINO]],Tabla49[ESPACIO ACADÉMICO DESTINO]&amp;Tabla49[PROGRAMA],Tabla49[CÓDIGO],"")</f>
        <v>73349</v>
      </c>
      <c r="H375" s="10" t="s">
        <v>408</v>
      </c>
      <c r="I375" s="14" cm="1">
        <f t="array" ref="I375">+_xlfn.XLOOKUP(Tabla9[[#This Row],[ESPACIO ACADÉMICO DESTINO]]&amp;Tabla9[[#This Row],[PROGRAMA DESTINO]],Tabla49[ESPACIO ACADÉMICO DESTINO]&amp;Tabla49[PROGRAMA],Tabla49[CRÉDITOS],"")</f>
        <v>2</v>
      </c>
      <c r="J375" s="14">
        <v>4.5</v>
      </c>
      <c r="K375" s="10" t="s">
        <v>107</v>
      </c>
      <c r="X375" s="52" t="s">
        <v>93</v>
      </c>
      <c r="Y375" s="8">
        <v>96116</v>
      </c>
      <c r="Z375" s="8" t="s">
        <v>605</v>
      </c>
      <c r="AA375" s="8">
        <v>3</v>
      </c>
    </row>
    <row r="376" spans="3:27" ht="45" x14ac:dyDescent="0.25">
      <c r="C376" s="1" t="str">
        <f>_xlfn.XLOOKUP(Tabla9[[#This Row],[PROGRAMA ORIGEN]],PROGRAMAS_N[PROGRAMAS ORIGEN],PROGRAMAS_N[NIVEL],"")</f>
        <v>TECNÓLOGO</v>
      </c>
      <c r="D376" s="16" t="s">
        <v>167</v>
      </c>
      <c r="E376" s="14">
        <v>260101016</v>
      </c>
      <c r="F376" s="10" t="s">
        <v>599</v>
      </c>
      <c r="G376" s="10" t="str" cm="1">
        <f t="array" ref="G376">+_xlfn.XLOOKUP(Tabla9[[#This Row],[ESPACIO ACADÉMICO DESTINO]]&amp;Tabla9[[#This Row],[PROGRAMA DESTINO]],Tabla49[ESPACIO ACADÉMICO DESTINO]&amp;Tabla49[PROGRAMA],Tabla49[CÓDIGO],"")</f>
        <v/>
      </c>
      <c r="H376" s="10"/>
      <c r="I376" s="14" t="str" cm="1">
        <f t="array" ref="I376">+_xlfn.XLOOKUP(Tabla9[[#This Row],[ESPACIO ACADÉMICO DESTINO]]&amp;Tabla9[[#This Row],[PROGRAMA DESTINO]],Tabla49[ESPACIO ACADÉMICO DESTINO]&amp;Tabla49[PROGRAMA],Tabla49[CRÉDITOS],"")</f>
        <v/>
      </c>
      <c r="J376" s="14"/>
      <c r="K376" s="10" t="s">
        <v>107</v>
      </c>
      <c r="X376" s="52" t="s">
        <v>93</v>
      </c>
      <c r="Y376" s="8">
        <v>96303</v>
      </c>
      <c r="Z376" s="8" t="s">
        <v>255</v>
      </c>
      <c r="AA376" s="8">
        <v>3</v>
      </c>
    </row>
    <row r="377" spans="3:27" ht="45" x14ac:dyDescent="0.25">
      <c r="C377" s="1" t="str">
        <f>_xlfn.XLOOKUP(Tabla9[[#This Row],[PROGRAMA ORIGEN]],PROGRAMAS_N[PROGRAMAS ORIGEN],PROGRAMAS_N[NIVEL],"")</f>
        <v>TECNÓLOGO</v>
      </c>
      <c r="D377" s="16" t="s">
        <v>167</v>
      </c>
      <c r="E377" s="14" t="s">
        <v>535</v>
      </c>
      <c r="F377" s="10" t="s">
        <v>606</v>
      </c>
      <c r="G377" s="10" cm="1">
        <f t="array" ref="G377">+_xlfn.XLOOKUP(Tabla9[[#This Row],[ESPACIO ACADÉMICO DESTINO]]&amp;Tabla9[[#This Row],[PROGRAMA DESTINO]],Tabla49[ESPACIO ACADÉMICO DESTINO]&amp;Tabla49[PROGRAMA],Tabla49[CÓDIGO],"")</f>
        <v>73623</v>
      </c>
      <c r="H377" s="10" t="s">
        <v>409</v>
      </c>
      <c r="I377" s="14" cm="1">
        <f t="array" ref="I377">+_xlfn.XLOOKUP(Tabla9[[#This Row],[ESPACIO ACADÉMICO DESTINO]]&amp;Tabla9[[#This Row],[PROGRAMA DESTINO]],Tabla49[ESPACIO ACADÉMICO DESTINO]&amp;Tabla49[PROGRAMA],Tabla49[CRÉDITOS],"")</f>
        <v>2</v>
      </c>
      <c r="J377" s="14">
        <v>4.5</v>
      </c>
      <c r="K377" s="10" t="s">
        <v>107</v>
      </c>
      <c r="X377" s="52" t="s">
        <v>93</v>
      </c>
      <c r="Y377" s="8">
        <v>10102</v>
      </c>
      <c r="Z377" s="8" t="s">
        <v>499</v>
      </c>
      <c r="AA377" s="8">
        <v>2</v>
      </c>
    </row>
    <row r="378" spans="3:27" ht="45" x14ac:dyDescent="0.25">
      <c r="C378" s="1" t="str">
        <f>_xlfn.XLOOKUP(Tabla9[[#This Row],[PROGRAMA ORIGEN]],PROGRAMAS_N[PROGRAMAS ORIGEN],PROGRAMAS_N[NIVEL],"")</f>
        <v>TECNÓLOGO</v>
      </c>
      <c r="D378" s="16" t="s">
        <v>167</v>
      </c>
      <c r="E378" s="14">
        <v>210301029</v>
      </c>
      <c r="F378" s="10" t="s">
        <v>568</v>
      </c>
      <c r="G378" s="10" cm="1">
        <f t="array" ref="G378">+_xlfn.XLOOKUP(Tabla9[[#This Row],[ESPACIO ACADÉMICO DESTINO]]&amp;Tabla9[[#This Row],[PROGRAMA DESTINO]],Tabla49[ESPACIO ACADÉMICO DESTINO]&amp;Tabla49[PROGRAMA],Tabla49[CÓDIGO],"")</f>
        <v>73360</v>
      </c>
      <c r="H378" s="10" t="s">
        <v>419</v>
      </c>
      <c r="I378" s="14" cm="1">
        <f t="array" ref="I378">+_xlfn.XLOOKUP(Tabla9[[#This Row],[ESPACIO ACADÉMICO DESTINO]]&amp;Tabla9[[#This Row],[PROGRAMA DESTINO]],Tabla49[ESPACIO ACADÉMICO DESTINO]&amp;Tabla49[PROGRAMA],Tabla49[CRÉDITOS],"")</f>
        <v>2</v>
      </c>
      <c r="J378" s="14">
        <v>4.5</v>
      </c>
      <c r="K378" s="10" t="s">
        <v>107</v>
      </c>
      <c r="X378" s="52" t="s">
        <v>93</v>
      </c>
      <c r="Y378" s="8">
        <v>10106</v>
      </c>
      <c r="Z378" s="8" t="s">
        <v>239</v>
      </c>
      <c r="AA378" s="8">
        <v>3</v>
      </c>
    </row>
    <row r="379" spans="3:27" ht="45" x14ac:dyDescent="0.25">
      <c r="C379" s="1" t="str">
        <f>_xlfn.XLOOKUP(Tabla9[[#This Row],[PROGRAMA ORIGEN]],PROGRAMAS_N[PROGRAMAS ORIGEN],PROGRAMAS_N[NIVEL],"")</f>
        <v>TECNÓLOGO</v>
      </c>
      <c r="D379" s="16" t="s">
        <v>167</v>
      </c>
      <c r="E379" s="14">
        <v>260101018</v>
      </c>
      <c r="F379" s="10" t="s">
        <v>607</v>
      </c>
      <c r="G379" s="10" cm="1">
        <f t="array" ref="G379">+_xlfn.XLOOKUP(Tabla9[[#This Row],[ESPACIO ACADÉMICO DESTINO]]&amp;Tabla9[[#This Row],[PROGRAMA DESTINO]],Tabla49[ESPACIO ACADÉMICO DESTINO]&amp;Tabla49[PROGRAMA],Tabla49[CÓDIGO],"")</f>
        <v>73627</v>
      </c>
      <c r="H379" s="10" t="s">
        <v>608</v>
      </c>
      <c r="I379" s="14" cm="1">
        <f t="array" ref="I379">+_xlfn.XLOOKUP(Tabla9[[#This Row],[ESPACIO ACADÉMICO DESTINO]]&amp;Tabla9[[#This Row],[PROGRAMA DESTINO]],Tabla49[ESPACIO ACADÉMICO DESTINO]&amp;Tabla49[PROGRAMA],Tabla49[CRÉDITOS],"")</f>
        <v>3</v>
      </c>
      <c r="J379" s="14">
        <v>4.5</v>
      </c>
      <c r="K379" s="10" t="s">
        <v>107</v>
      </c>
      <c r="X379" s="52" t="s">
        <v>93</v>
      </c>
      <c r="Y379" s="8">
        <v>95316</v>
      </c>
      <c r="Z379" s="8" t="s">
        <v>609</v>
      </c>
      <c r="AA379" s="8">
        <v>1</v>
      </c>
    </row>
    <row r="380" spans="3:27" ht="45" x14ac:dyDescent="0.25">
      <c r="C380" s="1" t="str">
        <f>_xlfn.XLOOKUP(Tabla9[[#This Row],[PROGRAMA ORIGEN]],PROGRAMAS_N[PROGRAMAS ORIGEN],PROGRAMAS_N[NIVEL],"")</f>
        <v>TECNÓLOGO</v>
      </c>
      <c r="D380" s="16" t="s">
        <v>167</v>
      </c>
      <c r="E380" s="14">
        <v>260101004</v>
      </c>
      <c r="F380" s="10" t="s">
        <v>570</v>
      </c>
      <c r="G380" s="10" cm="1">
        <f t="array" ref="G380">+_xlfn.XLOOKUP(Tabla9[[#This Row],[ESPACIO ACADÉMICO DESTINO]]&amp;Tabla9[[#This Row],[PROGRAMA DESTINO]],Tabla49[ESPACIO ACADÉMICO DESTINO]&amp;Tabla49[PROGRAMA],Tabla49[CÓDIGO],"")</f>
        <v>73639</v>
      </c>
      <c r="H380" s="10" t="s">
        <v>441</v>
      </c>
      <c r="I380" s="14" cm="1">
        <f t="array" ref="I380">+_xlfn.XLOOKUP(Tabla9[[#This Row],[ESPACIO ACADÉMICO DESTINO]]&amp;Tabla9[[#This Row],[PROGRAMA DESTINO]],Tabla49[ESPACIO ACADÉMICO DESTINO]&amp;Tabla49[PROGRAMA],Tabla49[CRÉDITOS],"")</f>
        <v>2</v>
      </c>
      <c r="J380" s="14">
        <v>4.5</v>
      </c>
      <c r="K380" s="10" t="s">
        <v>107</v>
      </c>
      <c r="X380" s="52" t="s">
        <v>93</v>
      </c>
      <c r="Y380" s="8">
        <v>96114</v>
      </c>
      <c r="Z380" s="8" t="s">
        <v>610</v>
      </c>
      <c r="AA380" s="8">
        <v>3</v>
      </c>
    </row>
    <row r="381" spans="3:27" ht="45" x14ac:dyDescent="0.25">
      <c r="C381" s="1" t="str">
        <f>_xlfn.XLOOKUP(Tabla9[[#This Row],[PROGRAMA ORIGEN]],PROGRAMAS_N[PROGRAMAS ORIGEN],PROGRAMAS_N[NIVEL],"")</f>
        <v>TECNÓLOGO</v>
      </c>
      <c r="D381" s="16" t="s">
        <v>173</v>
      </c>
      <c r="E381" s="14">
        <v>240201500</v>
      </c>
      <c r="F381" s="10" t="s">
        <v>508</v>
      </c>
      <c r="G381" s="10" cm="1">
        <f t="array" ref="G381">+_xlfn.XLOOKUP(Tabla9[[#This Row],[ESPACIO ACADÉMICO DESTINO]]&amp;Tabla9[[#This Row],[PROGRAMA DESTINO]],Tabla49[ESPACIO ACADÉMICO DESTINO]&amp;Tabla49[PROGRAMA],Tabla49[CÓDIGO],"")</f>
        <v>15135</v>
      </c>
      <c r="H381" s="10" t="s">
        <v>56</v>
      </c>
      <c r="I381" s="14" cm="1">
        <f t="array" ref="I381">+_xlfn.XLOOKUP(Tabla9[[#This Row],[ESPACIO ACADÉMICO DESTINO]]&amp;Tabla9[[#This Row],[PROGRAMA DESTINO]],Tabla49[ESPACIO ACADÉMICO DESTINO]&amp;Tabla49[PROGRAMA],Tabla49[CRÉDITOS],"")</f>
        <v>2</v>
      </c>
      <c r="J381" s="14">
        <v>4.5</v>
      </c>
      <c r="K381" s="10" t="s">
        <v>107</v>
      </c>
      <c r="X381" s="52" t="s">
        <v>93</v>
      </c>
      <c r="Y381" s="8">
        <v>96117</v>
      </c>
      <c r="Z381" s="8" t="s">
        <v>611</v>
      </c>
      <c r="AA381" s="8">
        <v>2</v>
      </c>
    </row>
    <row r="382" spans="3:27" ht="45" x14ac:dyDescent="0.25">
      <c r="C382" s="1" t="str">
        <f>_xlfn.XLOOKUP(Tabla9[[#This Row],[PROGRAMA ORIGEN]],PROGRAMAS_N[PROGRAMAS ORIGEN],PROGRAMAS_N[NIVEL],"")</f>
        <v>TECNÓLOGO</v>
      </c>
      <c r="D382" s="16" t="s">
        <v>173</v>
      </c>
      <c r="E382" s="14">
        <v>270502016</v>
      </c>
      <c r="F382" s="10" t="s">
        <v>589</v>
      </c>
      <c r="G382" s="10" cm="1">
        <f t="array" ref="G382">+_xlfn.XLOOKUP(Tabla9[[#This Row],[ESPACIO ACADÉMICO DESTINO]]&amp;Tabla9[[#This Row],[PROGRAMA DESTINO]],Tabla49[ESPACIO ACADÉMICO DESTINO]&amp;Tabla49[PROGRAMA],Tabla49[CÓDIGO],"")</f>
        <v>16690</v>
      </c>
      <c r="H382" s="10" t="s">
        <v>391</v>
      </c>
      <c r="I382" s="14" cm="1">
        <f t="array" ref="I382">+_xlfn.XLOOKUP(Tabla9[[#This Row],[ESPACIO ACADÉMICO DESTINO]]&amp;Tabla9[[#This Row],[PROGRAMA DESTINO]],Tabla49[ESPACIO ACADÉMICO DESTINO]&amp;Tabla49[PROGRAMA],Tabla49[CRÉDITOS],"")</f>
        <v>2</v>
      </c>
      <c r="J382" s="14">
        <v>4.5</v>
      </c>
      <c r="K382" s="10" t="s">
        <v>107</v>
      </c>
      <c r="X382" s="52" t="s">
        <v>93</v>
      </c>
      <c r="Y382" s="8">
        <v>10119</v>
      </c>
      <c r="Z382" s="8" t="s">
        <v>262</v>
      </c>
      <c r="AA382" s="8">
        <v>3</v>
      </c>
    </row>
    <row r="383" spans="3:27" ht="45" x14ac:dyDescent="0.25">
      <c r="C383" s="1" t="str">
        <f>_xlfn.XLOOKUP(Tabla9[[#This Row],[PROGRAMA ORIGEN]],PROGRAMAS_N[PROGRAMAS ORIGEN],PROGRAMAS_N[NIVEL],"")</f>
        <v>TECNÓLOGO</v>
      </c>
      <c r="D383" s="16" t="s">
        <v>173</v>
      </c>
      <c r="E383" s="14">
        <v>291201037</v>
      </c>
      <c r="F383" s="10" t="s">
        <v>612</v>
      </c>
      <c r="G383" s="10" cm="1">
        <f t="array" ref="G383">+_xlfn.XLOOKUP(Tabla9[[#This Row],[ESPACIO ACADÉMICO DESTINO]]&amp;Tabla9[[#This Row],[PROGRAMA DESTINO]],Tabla49[ESPACIO ACADÉMICO DESTINO]&amp;Tabla49[PROGRAMA],Tabla49[CÓDIGO],"")</f>
        <v>73619</v>
      </c>
      <c r="H383" s="10" t="s">
        <v>395</v>
      </c>
      <c r="I383" s="14" cm="1">
        <f t="array" ref="I383">+_xlfn.XLOOKUP(Tabla9[[#This Row],[ESPACIO ACADÉMICO DESTINO]]&amp;Tabla9[[#This Row],[PROGRAMA DESTINO]],Tabla49[ESPACIO ACADÉMICO DESTINO]&amp;Tabla49[PROGRAMA],Tabla49[CRÉDITOS],"")</f>
        <v>2</v>
      </c>
      <c r="J383" s="14">
        <v>4.5</v>
      </c>
      <c r="K383" s="10" t="s">
        <v>107</v>
      </c>
      <c r="X383" s="52" t="s">
        <v>93</v>
      </c>
      <c r="Y383" s="8">
        <v>10116</v>
      </c>
      <c r="Z383" s="8" t="s">
        <v>613</v>
      </c>
      <c r="AA383" s="8">
        <v>3</v>
      </c>
    </row>
    <row r="384" spans="3:27" ht="45" x14ac:dyDescent="0.25">
      <c r="C384" s="1" t="str">
        <f>_xlfn.XLOOKUP(Tabla9[[#This Row],[PROGRAMA ORIGEN]],PROGRAMAS_N[PROGRAMAS ORIGEN],PROGRAMAS_N[NIVEL],"")</f>
        <v>TECNÓLOGO</v>
      </c>
      <c r="D384" s="16" t="s">
        <v>173</v>
      </c>
      <c r="E384" s="14">
        <v>291201039</v>
      </c>
      <c r="F384" s="10" t="s">
        <v>614</v>
      </c>
      <c r="G384" s="10" cm="1">
        <f t="array" ref="G384">+_xlfn.XLOOKUP(Tabla9[[#This Row],[ESPACIO ACADÉMICO DESTINO]]&amp;Tabla9[[#This Row],[PROGRAMA DESTINO]],Tabla49[ESPACIO ACADÉMICO DESTINO]&amp;Tabla49[PROGRAMA],Tabla49[CÓDIGO],"")</f>
        <v>31038</v>
      </c>
      <c r="H384" s="10" t="s">
        <v>407</v>
      </c>
      <c r="I384" s="14" cm="1">
        <f t="array" ref="I384">+_xlfn.XLOOKUP(Tabla9[[#This Row],[ESPACIO ACADÉMICO DESTINO]]&amp;Tabla9[[#This Row],[PROGRAMA DESTINO]],Tabla49[ESPACIO ACADÉMICO DESTINO]&amp;Tabla49[PROGRAMA],Tabla49[CRÉDITOS],"")</f>
        <v>2</v>
      </c>
      <c r="J384" s="14">
        <v>4.5</v>
      </c>
      <c r="K384" s="10" t="s">
        <v>107</v>
      </c>
      <c r="X384" s="52" t="s">
        <v>93</v>
      </c>
      <c r="Y384" s="8">
        <v>10121</v>
      </c>
      <c r="Z384" s="8" t="s">
        <v>615</v>
      </c>
      <c r="AA384" s="8">
        <v>3</v>
      </c>
    </row>
    <row r="385" spans="3:27" ht="45" x14ac:dyDescent="0.25">
      <c r="C385" s="1" t="str">
        <f>_xlfn.XLOOKUP(Tabla9[[#This Row],[PROGRAMA ORIGEN]],PROGRAMAS_N[PROGRAMAS ORIGEN],PROGRAMAS_N[NIVEL],"")</f>
        <v>TECNÓLOGO</v>
      </c>
      <c r="D385" s="16" t="s">
        <v>173</v>
      </c>
      <c r="E385" s="14">
        <v>291201038</v>
      </c>
      <c r="F385" s="10" t="s">
        <v>616</v>
      </c>
      <c r="G385" s="10" cm="1">
        <f t="array" ref="G385">+_xlfn.XLOOKUP(Tabla9[[#This Row],[ESPACIO ACADÉMICO DESTINO]]&amp;Tabla9[[#This Row],[PROGRAMA DESTINO]],Tabla49[ESPACIO ACADÉMICO DESTINO]&amp;Tabla49[PROGRAMA],Tabla49[CÓDIGO],"")</f>
        <v>73626</v>
      </c>
      <c r="H385" s="10" t="s">
        <v>617</v>
      </c>
      <c r="I385" s="14" cm="1">
        <f t="array" ref="I385">+_xlfn.XLOOKUP(Tabla9[[#This Row],[ESPACIO ACADÉMICO DESTINO]]&amp;Tabla9[[#This Row],[PROGRAMA DESTINO]],Tabla49[ESPACIO ACADÉMICO DESTINO]&amp;Tabla49[PROGRAMA],Tabla49[CRÉDITOS],"")</f>
        <v>3</v>
      </c>
      <c r="J385" s="14">
        <v>4.5</v>
      </c>
      <c r="K385" s="10" t="s">
        <v>107</v>
      </c>
      <c r="X385" s="52" t="s">
        <v>93</v>
      </c>
      <c r="Y385" s="8">
        <v>95405</v>
      </c>
      <c r="Z385" s="8" t="s">
        <v>618</v>
      </c>
      <c r="AA385" s="8">
        <v>1</v>
      </c>
    </row>
    <row r="386" spans="3:27" ht="45" x14ac:dyDescent="0.25">
      <c r="C386" s="1" t="str">
        <f>_xlfn.XLOOKUP(Tabla9[[#This Row],[PROGRAMA ORIGEN]],PROGRAMAS_N[PROGRAMAS ORIGEN],PROGRAMAS_N[NIVEL],"")</f>
        <v>TECNÓLOGO</v>
      </c>
      <c r="D386" s="16" t="s">
        <v>173</v>
      </c>
      <c r="E386" s="14">
        <v>240201500</v>
      </c>
      <c r="F386" s="10" t="s">
        <v>619</v>
      </c>
      <c r="G386" s="10" cm="1">
        <f t="array" ref="G386">+_xlfn.XLOOKUP(Tabla9[[#This Row],[ESPACIO ACADÉMICO DESTINO]]&amp;Tabla9[[#This Row],[PROGRAMA DESTINO]],Tabla49[ESPACIO ACADÉMICO DESTINO]&amp;Tabla49[PROGRAMA],Tabla49[CÓDIGO],"")</f>
        <v>16915</v>
      </c>
      <c r="H386" s="10" t="s">
        <v>402</v>
      </c>
      <c r="I386" s="14" cm="1">
        <f t="array" ref="I386">+_xlfn.XLOOKUP(Tabla9[[#This Row],[ESPACIO ACADÉMICO DESTINO]]&amp;Tabla9[[#This Row],[PROGRAMA DESTINO]],Tabla49[ESPACIO ACADÉMICO DESTINO]&amp;Tabla49[PROGRAMA],Tabla49[CRÉDITOS],"")</f>
        <v>2</v>
      </c>
      <c r="J386" s="14">
        <v>4.5</v>
      </c>
      <c r="K386" s="10" t="s">
        <v>107</v>
      </c>
      <c r="X386" s="52" t="s">
        <v>93</v>
      </c>
      <c r="Y386" s="8">
        <v>10115</v>
      </c>
      <c r="Z386" s="8" t="s">
        <v>620</v>
      </c>
      <c r="AA386" s="8">
        <v>3</v>
      </c>
    </row>
    <row r="387" spans="3:27" ht="45" x14ac:dyDescent="0.25">
      <c r="C387" s="1" t="str">
        <f>_xlfn.XLOOKUP(Tabla9[[#This Row],[PROGRAMA ORIGEN]],PROGRAMAS_N[PROGRAMAS ORIGEN],PROGRAMAS_N[NIVEL],"")</f>
        <v>TECNÓLOGO</v>
      </c>
      <c r="D387" s="16" t="s">
        <v>173</v>
      </c>
      <c r="E387" s="14">
        <v>291201042</v>
      </c>
      <c r="F387" s="10" t="s">
        <v>621</v>
      </c>
      <c r="G387" s="10" t="str" cm="1">
        <f t="array" ref="G387">+_xlfn.XLOOKUP(Tabla9[[#This Row],[ESPACIO ACADÉMICO DESTINO]]&amp;Tabla9[[#This Row],[PROGRAMA DESTINO]],Tabla49[ESPACIO ACADÉMICO DESTINO]&amp;Tabla49[PROGRAMA],Tabla49[CÓDIGO],"")</f>
        <v/>
      </c>
      <c r="H387" s="10"/>
      <c r="I387" s="14" t="str" cm="1">
        <f t="array" ref="I387">+_xlfn.XLOOKUP(Tabla9[[#This Row],[ESPACIO ACADÉMICO DESTINO]]&amp;Tabla9[[#This Row],[PROGRAMA DESTINO]],Tabla49[ESPACIO ACADÉMICO DESTINO]&amp;Tabla49[PROGRAMA],Tabla49[CRÉDITOS],"")</f>
        <v/>
      </c>
      <c r="J387" s="14"/>
      <c r="K387" s="10" t="s">
        <v>107</v>
      </c>
      <c r="X387" s="52" t="s">
        <v>93</v>
      </c>
      <c r="Y387" s="8">
        <v>10118</v>
      </c>
      <c r="Z387" s="8" t="s">
        <v>622</v>
      </c>
      <c r="AA387" s="8">
        <v>3</v>
      </c>
    </row>
    <row r="388" spans="3:27" ht="30" x14ac:dyDescent="0.25">
      <c r="C388" s="1" t="str">
        <f>_xlfn.XLOOKUP(Tabla9[[#This Row],[PROGRAMA ORIGEN]],PROGRAMAS_N[PROGRAMAS ORIGEN],PROGRAMAS_N[NIVEL],"")</f>
        <v>TÉCNICO</v>
      </c>
      <c r="D388" s="16" t="s">
        <v>206</v>
      </c>
      <c r="E388" s="14">
        <v>270501042</v>
      </c>
      <c r="F388" s="10" t="s">
        <v>623</v>
      </c>
      <c r="G388" s="10" cm="1">
        <f t="array" ref="G388">+_xlfn.XLOOKUP(Tabla9[[#This Row],[ESPACIO ACADÉMICO DESTINO]]&amp;Tabla9[[#This Row],[PROGRAMA DESTINO]],Tabla49[ESPACIO ACADÉMICO DESTINO]&amp;Tabla49[PROGRAMA],Tabla49[CÓDIGO],"")</f>
        <v>73494</v>
      </c>
      <c r="H388" s="10" t="s">
        <v>486</v>
      </c>
      <c r="I388" s="14" cm="1">
        <f t="array" ref="I388">+_xlfn.XLOOKUP(Tabla9[[#This Row],[ESPACIO ACADÉMICO DESTINO]]&amp;Tabla9[[#This Row],[PROGRAMA DESTINO]],Tabla49[ESPACIO ACADÉMICO DESTINO]&amp;Tabla49[PROGRAMA],Tabla49[CRÉDITOS],"")</f>
        <v>3</v>
      </c>
      <c r="J388" s="14">
        <v>4.5</v>
      </c>
      <c r="K388" s="2" t="s">
        <v>116</v>
      </c>
      <c r="X388" s="52" t="s">
        <v>93</v>
      </c>
      <c r="Y388" s="8">
        <v>10137</v>
      </c>
      <c r="Z388" s="8" t="s">
        <v>266</v>
      </c>
      <c r="AA388" s="8">
        <v>4</v>
      </c>
    </row>
    <row r="389" spans="3:27" ht="45" x14ac:dyDescent="0.25">
      <c r="C389" s="1" t="str">
        <f>_xlfn.XLOOKUP(Tabla9[[#This Row],[PROGRAMA ORIGEN]],PROGRAMAS_N[PROGRAMAS ORIGEN],PROGRAMAS_N[NIVEL],"")</f>
        <v>TÉCNICO</v>
      </c>
      <c r="D389" s="16" t="s">
        <v>206</v>
      </c>
      <c r="E389" s="14">
        <v>270601001</v>
      </c>
      <c r="F389" s="10" t="s">
        <v>624</v>
      </c>
      <c r="G389" s="10" cm="1">
        <f t="array" ref="G389">+_xlfn.XLOOKUP(Tabla9[[#This Row],[ESPACIO ACADÉMICO DESTINO]]&amp;Tabla9[[#This Row],[PROGRAMA DESTINO]],Tabla49[ESPACIO ACADÉMICO DESTINO]&amp;Tabla49[PROGRAMA],Tabla49[CÓDIGO],"")</f>
        <v>73492</v>
      </c>
      <c r="H389" s="1" t="s">
        <v>481</v>
      </c>
      <c r="I389" s="14" cm="1">
        <f t="array" ref="I389">+_xlfn.XLOOKUP(Tabla9[[#This Row],[ESPACIO ACADÉMICO DESTINO]]&amp;Tabla9[[#This Row],[PROGRAMA DESTINO]],Tabla49[ESPACIO ACADÉMICO DESTINO]&amp;Tabla49[PROGRAMA],Tabla49[CRÉDITOS],"")</f>
        <v>2</v>
      </c>
      <c r="J389" s="14">
        <v>4.5</v>
      </c>
      <c r="K389" s="2" t="s">
        <v>116</v>
      </c>
      <c r="X389" s="52" t="s">
        <v>93</v>
      </c>
      <c r="Y389" s="8">
        <v>10126</v>
      </c>
      <c r="Z389" s="8" t="s">
        <v>625</v>
      </c>
      <c r="AA389" s="8">
        <v>3</v>
      </c>
    </row>
    <row r="390" spans="3:27" ht="30" x14ac:dyDescent="0.25">
      <c r="C390" s="1" t="str">
        <f>_xlfn.XLOOKUP(Tabla9[[#This Row],[PROGRAMA ORIGEN]],PROGRAMAS_N[PROGRAMAS ORIGEN],PROGRAMAS_N[NIVEL],"")</f>
        <v>TÉCNICO</v>
      </c>
      <c r="D390" s="16" t="s">
        <v>206</v>
      </c>
      <c r="E390" s="14">
        <v>270601001</v>
      </c>
      <c r="F390" s="10" t="s">
        <v>624</v>
      </c>
      <c r="G390" s="10" cm="1">
        <f t="array" ref="G390">+_xlfn.XLOOKUP(Tabla9[[#This Row],[ESPACIO ACADÉMICO DESTINO]]&amp;Tabla9[[#This Row],[PROGRAMA DESTINO]],Tabla49[ESPACIO ACADÉMICO DESTINO]&amp;Tabla49[PROGRAMA],Tabla49[CÓDIGO],"")</f>
        <v>73506</v>
      </c>
      <c r="H390" s="1" t="s">
        <v>531</v>
      </c>
      <c r="I390" s="14" cm="1">
        <f t="array" ref="I390">+_xlfn.XLOOKUP(Tabla9[[#This Row],[ESPACIO ACADÉMICO DESTINO]]&amp;Tabla9[[#This Row],[PROGRAMA DESTINO]],Tabla49[ESPACIO ACADÉMICO DESTINO]&amp;Tabla49[PROGRAMA],Tabla49[CRÉDITOS],"")</f>
        <v>2</v>
      </c>
      <c r="J390" s="14">
        <v>4.5</v>
      </c>
      <c r="K390" s="2" t="s">
        <v>116</v>
      </c>
      <c r="X390" s="52" t="s">
        <v>93</v>
      </c>
      <c r="Y390" s="8">
        <v>9511</v>
      </c>
      <c r="Z390" s="8" t="s">
        <v>184</v>
      </c>
      <c r="AA390" s="8">
        <v>2</v>
      </c>
    </row>
    <row r="391" spans="3:27" ht="30" x14ac:dyDescent="0.25">
      <c r="C391" s="1" t="str">
        <f>_xlfn.XLOOKUP(Tabla9[[#This Row],[PROGRAMA ORIGEN]],PROGRAMAS_N[PROGRAMAS ORIGEN],PROGRAMAS_N[NIVEL],"")</f>
        <v>TÉCNICO</v>
      </c>
      <c r="D391" s="16" t="s">
        <v>206</v>
      </c>
      <c r="E391" s="14">
        <v>270601002</v>
      </c>
      <c r="F391" s="10" t="s">
        <v>626</v>
      </c>
      <c r="G391" s="10" cm="1">
        <f t="array" ref="G391">+_xlfn.XLOOKUP(Tabla9[[#This Row],[ESPACIO ACADÉMICO DESTINO]]&amp;Tabla9[[#This Row],[PROGRAMA DESTINO]],Tabla49[ESPACIO ACADÉMICO DESTINO]&amp;Tabla49[PROGRAMA],Tabla49[CÓDIGO],"")</f>
        <v>16539</v>
      </c>
      <c r="H391" s="1" t="s">
        <v>627</v>
      </c>
      <c r="I391" s="14" cm="1">
        <f t="array" ref="I391">+_xlfn.XLOOKUP(Tabla9[[#This Row],[ESPACIO ACADÉMICO DESTINO]]&amp;Tabla9[[#This Row],[PROGRAMA DESTINO]],Tabla49[ESPACIO ACADÉMICO DESTINO]&amp;Tabla49[PROGRAMA],Tabla49[CRÉDITOS],"")</f>
        <v>3</v>
      </c>
      <c r="J391" s="14">
        <v>4.5</v>
      </c>
      <c r="K391" s="2" t="s">
        <v>116</v>
      </c>
      <c r="X391" s="52" t="s">
        <v>93</v>
      </c>
      <c r="Y391" s="8">
        <v>95219</v>
      </c>
      <c r="Z391" s="8" t="s">
        <v>628</v>
      </c>
      <c r="AA391" s="8">
        <v>1</v>
      </c>
    </row>
    <row r="392" spans="3:27" ht="45" x14ac:dyDescent="0.25">
      <c r="C392" s="1" t="str">
        <f>_xlfn.XLOOKUP(Tabla9[[#This Row],[PROGRAMA ORIGEN]],PROGRAMAS_N[PROGRAMAS ORIGEN],PROGRAMAS_N[NIVEL],"")</f>
        <v>TÉCNICO</v>
      </c>
      <c r="D392" s="16" t="s">
        <v>206</v>
      </c>
      <c r="E392" s="14">
        <v>270601003</v>
      </c>
      <c r="F392" s="10" t="s">
        <v>629</v>
      </c>
      <c r="G392" s="10" cm="1">
        <f t="array" ref="G392">+_xlfn.XLOOKUP(Tabla9[[#This Row],[ESPACIO ACADÉMICO DESTINO]]&amp;Tabla9[[#This Row],[PROGRAMA DESTINO]],Tabla49[ESPACIO ACADÉMICO DESTINO]&amp;Tabla49[PROGRAMA],Tabla49[CÓDIGO],"")</f>
        <v>16730</v>
      </c>
      <c r="H392" s="1" t="s">
        <v>462</v>
      </c>
      <c r="I392" s="14" cm="1">
        <f t="array" ref="I392">+_xlfn.XLOOKUP(Tabla9[[#This Row],[ESPACIO ACADÉMICO DESTINO]]&amp;Tabla9[[#This Row],[PROGRAMA DESTINO]],Tabla49[ESPACIO ACADÉMICO DESTINO]&amp;Tabla49[PROGRAMA],Tabla49[CRÉDITOS],"")</f>
        <v>2</v>
      </c>
      <c r="J392" s="14">
        <v>4.5</v>
      </c>
      <c r="K392" s="2" t="s">
        <v>116</v>
      </c>
      <c r="X392" s="52" t="s">
        <v>93</v>
      </c>
      <c r="Y392" s="8">
        <v>10125</v>
      </c>
      <c r="Z392" s="8" t="s">
        <v>630</v>
      </c>
      <c r="AA392" s="8">
        <v>4</v>
      </c>
    </row>
    <row r="393" spans="3:27" ht="45" x14ac:dyDescent="0.25">
      <c r="C393" s="1" t="str">
        <f>_xlfn.XLOOKUP(Tabla9[[#This Row],[PROGRAMA ORIGEN]],PROGRAMAS_N[PROGRAMAS ORIGEN],PROGRAMAS_N[NIVEL],"")</f>
        <v>TÉCNICO</v>
      </c>
      <c r="D393" s="16" t="s">
        <v>206</v>
      </c>
      <c r="E393" s="14">
        <v>270601003</v>
      </c>
      <c r="F393" s="10" t="s">
        <v>629</v>
      </c>
      <c r="G393" s="10" cm="1">
        <f t="array" ref="G393">+_xlfn.XLOOKUP(Tabla9[[#This Row],[ESPACIO ACADÉMICO DESTINO]]&amp;Tabla9[[#This Row],[PROGRAMA DESTINO]],Tabla49[ESPACIO ACADÉMICO DESTINO]&amp;Tabla49[PROGRAMA],Tabla49[CÓDIGO],"")</f>
        <v>16540</v>
      </c>
      <c r="H393" s="1" t="s">
        <v>631</v>
      </c>
      <c r="I393" s="14" cm="1">
        <f t="array" ref="I393">+_xlfn.XLOOKUP(Tabla9[[#This Row],[ESPACIO ACADÉMICO DESTINO]]&amp;Tabla9[[#This Row],[PROGRAMA DESTINO]],Tabla49[ESPACIO ACADÉMICO DESTINO]&amp;Tabla49[PROGRAMA],Tabla49[CRÉDITOS],"")</f>
        <v>3</v>
      </c>
      <c r="J393" s="14">
        <v>4.5</v>
      </c>
      <c r="K393" s="2" t="s">
        <v>116</v>
      </c>
      <c r="X393" s="52" t="s">
        <v>93</v>
      </c>
      <c r="Y393" s="8">
        <v>10123</v>
      </c>
      <c r="Z393" s="8" t="s">
        <v>632</v>
      </c>
      <c r="AA393" s="8">
        <v>3</v>
      </c>
    </row>
    <row r="394" spans="3:27" ht="30" x14ac:dyDescent="0.25">
      <c r="C394" s="1" t="str">
        <f>_xlfn.XLOOKUP(Tabla9[[#This Row],[PROGRAMA ORIGEN]],PROGRAMAS_N[PROGRAMAS ORIGEN],PROGRAMAS_N[NIVEL],"")</f>
        <v>TÉCNICO</v>
      </c>
      <c r="D394" s="16" t="s">
        <v>206</v>
      </c>
      <c r="E394" s="14">
        <v>270601004</v>
      </c>
      <c r="F394" s="10" t="s">
        <v>633</v>
      </c>
      <c r="G394" s="10" cm="1">
        <f t="array" ref="G394">+_xlfn.XLOOKUP(Tabla9[[#This Row],[ESPACIO ACADÉMICO DESTINO]]&amp;Tabla9[[#This Row],[PROGRAMA DESTINO]],Tabla49[ESPACIO ACADÉMICO DESTINO]&amp;Tabla49[PROGRAMA],Tabla49[CÓDIGO],"")</f>
        <v>73495</v>
      </c>
      <c r="H394" s="1" t="s">
        <v>488</v>
      </c>
      <c r="I394" s="14" cm="1">
        <f t="array" ref="I394">+_xlfn.XLOOKUP(Tabla9[[#This Row],[ESPACIO ACADÉMICO DESTINO]]&amp;Tabla9[[#This Row],[PROGRAMA DESTINO]],Tabla49[ESPACIO ACADÉMICO DESTINO]&amp;Tabla49[PROGRAMA],Tabla49[CRÉDITOS],"")</f>
        <v>3</v>
      </c>
      <c r="J394" s="14">
        <v>4.5</v>
      </c>
      <c r="K394" s="2" t="s">
        <v>116</v>
      </c>
      <c r="X394" s="52" t="s">
        <v>93</v>
      </c>
      <c r="Y394" s="8">
        <v>10124</v>
      </c>
      <c r="Z394" s="8" t="s">
        <v>634</v>
      </c>
      <c r="AA394" s="8">
        <v>3</v>
      </c>
    </row>
    <row r="395" spans="3:27" ht="30" x14ac:dyDescent="0.25">
      <c r="C395" s="1" t="str">
        <f>_xlfn.XLOOKUP(Tabla9[[#This Row],[PROGRAMA ORIGEN]],PROGRAMAS_N[PROGRAMAS ORIGEN],PROGRAMAS_N[NIVEL],"")</f>
        <v>TÉCNICO</v>
      </c>
      <c r="D395" s="16" t="s">
        <v>206</v>
      </c>
      <c r="E395" s="14">
        <v>270601005</v>
      </c>
      <c r="F395" s="10" t="s">
        <v>635</v>
      </c>
      <c r="G395" s="10" cm="1">
        <f t="array" ref="G395">+_xlfn.XLOOKUP(Tabla9[[#This Row],[ESPACIO ACADÉMICO DESTINO]]&amp;Tabla9[[#This Row],[PROGRAMA DESTINO]],Tabla49[ESPACIO ACADÉMICO DESTINO]&amp;Tabla49[PROGRAMA],Tabla49[CÓDIGO],"")</f>
        <v>73496</v>
      </c>
      <c r="H395" s="1" t="s">
        <v>495</v>
      </c>
      <c r="I395" s="14" cm="1">
        <f t="array" ref="I395">+_xlfn.XLOOKUP(Tabla9[[#This Row],[ESPACIO ACADÉMICO DESTINO]]&amp;Tabla9[[#This Row],[PROGRAMA DESTINO]],Tabla49[ESPACIO ACADÉMICO DESTINO]&amp;Tabla49[PROGRAMA],Tabla49[CRÉDITOS],"")</f>
        <v>3</v>
      </c>
      <c r="J395" s="14">
        <v>4.5</v>
      </c>
      <c r="K395" s="2" t="s">
        <v>116</v>
      </c>
      <c r="X395" s="52" t="s">
        <v>93</v>
      </c>
      <c r="Y395" s="8">
        <v>10127</v>
      </c>
      <c r="Z395" s="8" t="s">
        <v>260</v>
      </c>
      <c r="AA395" s="8">
        <v>3</v>
      </c>
    </row>
    <row r="396" spans="3:27" ht="30" x14ac:dyDescent="0.25">
      <c r="C396" s="1" t="str">
        <f>_xlfn.XLOOKUP(Tabla9[[#This Row],[PROGRAMA ORIGEN]],PROGRAMAS_N[PROGRAMAS ORIGEN],PROGRAMAS_N[NIVEL],"")</f>
        <v>TÉCNICO</v>
      </c>
      <c r="D396" s="16" t="s">
        <v>206</v>
      </c>
      <c r="E396" s="14">
        <v>270601005</v>
      </c>
      <c r="F396" s="10" t="s">
        <v>635</v>
      </c>
      <c r="G396" s="10" cm="1">
        <f t="array" ref="G396">+_xlfn.XLOOKUP(Tabla9[[#This Row],[ESPACIO ACADÉMICO DESTINO]]&amp;Tabla9[[#This Row],[PROGRAMA DESTINO]],Tabla49[ESPACIO ACADÉMICO DESTINO]&amp;Tabla49[PROGRAMA],Tabla49[CÓDIGO],"")</f>
        <v>73493</v>
      </c>
      <c r="H396" s="10" t="s">
        <v>482</v>
      </c>
      <c r="I396" s="14" cm="1">
        <f t="array" ref="I396">+_xlfn.XLOOKUP(Tabla9[[#This Row],[ESPACIO ACADÉMICO DESTINO]]&amp;Tabla9[[#This Row],[PROGRAMA DESTINO]],Tabla49[ESPACIO ACADÉMICO DESTINO]&amp;Tabla49[PROGRAMA],Tabla49[CRÉDITOS],"")</f>
        <v>2</v>
      </c>
      <c r="J396" s="14">
        <v>4.5</v>
      </c>
      <c r="K396" s="2" t="s">
        <v>116</v>
      </c>
      <c r="X396" s="52" t="s">
        <v>93</v>
      </c>
      <c r="Y396" s="8">
        <v>10117</v>
      </c>
      <c r="Z396" s="8" t="s">
        <v>636</v>
      </c>
      <c r="AA396" s="8">
        <v>3</v>
      </c>
    </row>
    <row r="397" spans="3:27" x14ac:dyDescent="0.25">
      <c r="C397" s="1" t="str">
        <f>_xlfn.XLOOKUP(Tabla9[[#This Row],[PROGRAMA ORIGEN]],PROGRAMAS_N[PROGRAMAS ORIGEN],PROGRAMAS_N[NIVEL],"")</f>
        <v>TÉCNICO</v>
      </c>
      <c r="D397" s="16" t="s">
        <v>208</v>
      </c>
      <c r="E397" s="14">
        <v>270501031</v>
      </c>
      <c r="F397" s="47" t="s">
        <v>637</v>
      </c>
      <c r="G397" s="10" cm="1">
        <f t="array" ref="G397">+_xlfn.XLOOKUP(Tabla9[[#This Row],[ESPACIO ACADÉMICO DESTINO]]&amp;Tabla9[[#This Row],[PROGRAMA DESTINO]],Tabla49[ESPACIO ACADÉMICO DESTINO]&amp;Tabla49[PROGRAMA],Tabla49[CÓDIGO],"")</f>
        <v>16733</v>
      </c>
      <c r="H397" s="10" t="s">
        <v>468</v>
      </c>
      <c r="I397" s="14" cm="1">
        <f t="array" ref="I397">+_xlfn.XLOOKUP(Tabla9[[#This Row],[ESPACIO ACADÉMICO DESTINO]]&amp;Tabla9[[#This Row],[PROGRAMA DESTINO]],Tabla49[ESPACIO ACADÉMICO DESTINO]&amp;Tabla49[PROGRAMA],Tabla49[CRÉDITOS],"")</f>
        <v>3</v>
      </c>
      <c r="J397" s="14">
        <v>4.5</v>
      </c>
      <c r="K397" s="2" t="s">
        <v>116</v>
      </c>
      <c r="X397" s="52" t="s">
        <v>93</v>
      </c>
      <c r="Y397" s="8">
        <v>10136</v>
      </c>
      <c r="Z397" s="8" t="s">
        <v>638</v>
      </c>
      <c r="AA397" s="8">
        <v>2</v>
      </c>
    </row>
    <row r="398" spans="3:27" ht="45" x14ac:dyDescent="0.25">
      <c r="C398" s="1" t="str">
        <f>_xlfn.XLOOKUP(Tabla9[[#This Row],[PROGRAMA ORIGEN]],PROGRAMAS_N[PROGRAMAS ORIGEN],PROGRAMAS_N[NIVEL],"")</f>
        <v>TÉCNICO</v>
      </c>
      <c r="D398" s="16" t="s">
        <v>208</v>
      </c>
      <c r="E398" s="14">
        <f t="shared" ref="E398:F400" si="0">E397</f>
        <v>270501031</v>
      </c>
      <c r="F398" s="47" t="str">
        <f t="shared" si="0"/>
        <v>COORDINAR PRODUCCIÓN DE ESPECIE PECUARIA SEGÚN OBJETIVOS DE LA</v>
      </c>
      <c r="G398" s="1" cm="1">
        <f t="array" ref="G398">+_xlfn.XLOOKUP(Tabla9[[#This Row],[ESPACIO ACADÉMICO DESTINO]]&amp;Tabla9[[#This Row],[PROGRAMA DESTINO]],Tabla49[ESPACIO ACADÉMICO DESTINO]&amp;Tabla49[PROGRAMA],Tabla49[CÓDIGO],"")</f>
        <v>73496</v>
      </c>
      <c r="H398" s="1" t="s">
        <v>495</v>
      </c>
      <c r="I398" s="14" cm="1">
        <f t="array" ref="I398">+_xlfn.XLOOKUP(Tabla9[[#This Row],[ESPACIO ACADÉMICO DESTINO]]&amp;Tabla9[[#This Row],[PROGRAMA DESTINO]],Tabla49[ESPACIO ACADÉMICO DESTINO]&amp;Tabla49[PROGRAMA],Tabla49[CRÉDITOS],"")</f>
        <v>3</v>
      </c>
      <c r="J398" s="14">
        <v>4.5</v>
      </c>
      <c r="K398" s="2" t="s">
        <v>116</v>
      </c>
      <c r="X398" s="52" t="s">
        <v>93</v>
      </c>
      <c r="Y398" s="8">
        <v>10133</v>
      </c>
      <c r="Z398" s="8" t="s">
        <v>639</v>
      </c>
      <c r="AA398" s="8">
        <v>3</v>
      </c>
    </row>
    <row r="399" spans="3:27" ht="30" x14ac:dyDescent="0.25">
      <c r="C399" s="1" t="str">
        <f>_xlfn.XLOOKUP(Tabla9[[#This Row],[PROGRAMA ORIGEN]],PROGRAMAS_N[PROGRAMAS ORIGEN],PROGRAMAS_N[NIVEL],"")</f>
        <v>TÉCNICO</v>
      </c>
      <c r="D399" s="16" t="s">
        <v>208</v>
      </c>
      <c r="E399" s="14">
        <f t="shared" si="0"/>
        <v>270501031</v>
      </c>
      <c r="F399" s="47" t="str">
        <f t="shared" si="0"/>
        <v>COORDINAR PRODUCCIÓN DE ESPECIE PECUARIA SEGÚN OBJETIVOS DE LA</v>
      </c>
      <c r="G399" s="1" cm="1">
        <f t="array" ref="G399">+_xlfn.XLOOKUP(Tabla9[[#This Row],[ESPACIO ACADÉMICO DESTINO]]&amp;Tabla9[[#This Row],[PROGRAMA DESTINO]],Tabla49[ESPACIO ACADÉMICO DESTINO]&amp;Tabla49[PROGRAMA],Tabla49[CÓDIGO],"")</f>
        <v>73506</v>
      </c>
      <c r="H399" s="1" t="s">
        <v>531</v>
      </c>
      <c r="I399" s="14" cm="1">
        <f t="array" ref="I399">+_xlfn.XLOOKUP(Tabla9[[#This Row],[ESPACIO ACADÉMICO DESTINO]]&amp;Tabla9[[#This Row],[PROGRAMA DESTINO]],Tabla49[ESPACIO ACADÉMICO DESTINO]&amp;Tabla49[PROGRAMA],Tabla49[CRÉDITOS],"")</f>
        <v>2</v>
      </c>
      <c r="J399" s="14">
        <v>4.5</v>
      </c>
      <c r="K399" s="2" t="s">
        <v>116</v>
      </c>
      <c r="X399" s="52" t="s">
        <v>93</v>
      </c>
      <c r="Y399" s="8">
        <v>10132</v>
      </c>
      <c r="Z399" s="8" t="s">
        <v>640</v>
      </c>
      <c r="AA399" s="8">
        <v>4</v>
      </c>
    </row>
    <row r="400" spans="3:27" ht="30" x14ac:dyDescent="0.25">
      <c r="C400" s="1" t="str">
        <f>_xlfn.XLOOKUP(Tabla9[[#This Row],[PROGRAMA ORIGEN]],PROGRAMAS_N[PROGRAMAS ORIGEN],PROGRAMAS_N[NIVEL],"")</f>
        <v>TÉCNICO</v>
      </c>
      <c r="D400" s="16" t="s">
        <v>208</v>
      </c>
      <c r="E400" s="14">
        <f t="shared" si="0"/>
        <v>270501031</v>
      </c>
      <c r="F400" s="47" t="str">
        <f t="shared" si="0"/>
        <v>COORDINAR PRODUCCIÓN DE ESPECIE PECUARIA SEGÚN OBJETIVOS DE LA</v>
      </c>
      <c r="G400" s="1" cm="1">
        <f t="array" ref="G400">+_xlfn.XLOOKUP(Tabla9[[#This Row],[ESPACIO ACADÉMICO DESTINO]]&amp;Tabla9[[#This Row],[PROGRAMA DESTINO]],Tabla49[ESPACIO ACADÉMICO DESTINO]&amp;Tabla49[PROGRAMA],Tabla49[CÓDIGO],"")</f>
        <v>73494</v>
      </c>
      <c r="H400" s="1" t="s">
        <v>486</v>
      </c>
      <c r="I400" s="14" cm="1">
        <f t="array" ref="I400">+_xlfn.XLOOKUP(Tabla9[[#This Row],[ESPACIO ACADÉMICO DESTINO]]&amp;Tabla9[[#This Row],[PROGRAMA DESTINO]],Tabla49[ESPACIO ACADÉMICO DESTINO]&amp;Tabla49[PROGRAMA],Tabla49[CRÉDITOS],"")</f>
        <v>3</v>
      </c>
      <c r="J400" s="14">
        <v>4.5</v>
      </c>
      <c r="K400" s="2" t="s">
        <v>116</v>
      </c>
      <c r="X400" s="52" t="s">
        <v>93</v>
      </c>
      <c r="Y400" s="8">
        <v>10134</v>
      </c>
      <c r="Z400" s="8" t="s">
        <v>641</v>
      </c>
      <c r="AA400" s="8">
        <v>3</v>
      </c>
    </row>
    <row r="401" spans="3:27" x14ac:dyDescent="0.25">
      <c r="C401" s="1" t="str">
        <f>_xlfn.XLOOKUP(Tabla9[[#This Row],[PROGRAMA ORIGEN]],PROGRAMAS_N[PROGRAMAS ORIGEN],PROGRAMAS_N[NIVEL],"")</f>
        <v>TÉCNICO</v>
      </c>
      <c r="D401" s="16" t="s">
        <v>208</v>
      </c>
      <c r="E401" s="14">
        <v>270401058</v>
      </c>
      <c r="F401" s="47" t="s">
        <v>642</v>
      </c>
      <c r="G401" s="1" cm="1">
        <f t="array" ref="G401">+_xlfn.XLOOKUP(Tabla9[[#This Row],[ESPACIO ACADÉMICO DESTINO]]&amp;Tabla9[[#This Row],[PROGRAMA DESTINO]],Tabla49[ESPACIO ACADÉMICO DESTINO]&amp;Tabla49[PROGRAMA],Tabla49[CÓDIGO],"")</f>
        <v>16539</v>
      </c>
      <c r="H401" s="1" t="s">
        <v>643</v>
      </c>
      <c r="I401" s="14" cm="1">
        <f t="array" ref="I401">+_xlfn.XLOOKUP(Tabla9[[#This Row],[ESPACIO ACADÉMICO DESTINO]]&amp;Tabla9[[#This Row],[PROGRAMA DESTINO]],Tabla49[ESPACIO ACADÉMICO DESTINO]&amp;Tabla49[PROGRAMA],Tabla49[CRÉDITOS],"")</f>
        <v>3</v>
      </c>
      <c r="J401" s="14">
        <v>4.5</v>
      </c>
      <c r="K401" s="2" t="s">
        <v>116</v>
      </c>
      <c r="X401" s="52" t="s">
        <v>93</v>
      </c>
      <c r="Y401" s="8">
        <v>10135</v>
      </c>
      <c r="Z401" s="8" t="s">
        <v>487</v>
      </c>
      <c r="AA401" s="8">
        <v>3</v>
      </c>
    </row>
    <row r="402" spans="3:27" x14ac:dyDescent="0.25">
      <c r="C402" s="1" t="str">
        <f>_xlfn.XLOOKUP(Tabla9[[#This Row],[PROGRAMA ORIGEN]],PROGRAMAS_N[PROGRAMAS ORIGEN],PROGRAMAS_N[NIVEL],"")</f>
        <v>TÉCNICO</v>
      </c>
      <c r="D402" s="16" t="s">
        <v>208</v>
      </c>
      <c r="E402" s="14">
        <v>270401053</v>
      </c>
      <c r="F402" s="47" t="s">
        <v>644</v>
      </c>
      <c r="G402" s="1" cm="1">
        <f t="array" ref="G402">+_xlfn.XLOOKUP(Tabla9[[#This Row],[ESPACIO ACADÉMICO DESTINO]]&amp;Tabla9[[#This Row],[PROGRAMA DESTINO]],Tabla49[ESPACIO ACADÉMICO DESTINO]&amp;Tabla49[PROGRAMA],Tabla49[CÓDIGO],"")</f>
        <v>16728</v>
      </c>
      <c r="H402" s="1" t="s">
        <v>463</v>
      </c>
      <c r="I402" s="14" cm="1">
        <f t="array" ref="I402">+_xlfn.XLOOKUP(Tabla9[[#This Row],[ESPACIO ACADÉMICO DESTINO]]&amp;Tabla9[[#This Row],[PROGRAMA DESTINO]],Tabla49[ESPACIO ACADÉMICO DESTINO]&amp;Tabla49[PROGRAMA],Tabla49[CRÉDITOS],"")</f>
        <v>3</v>
      </c>
      <c r="J402" s="14">
        <v>4.5</v>
      </c>
      <c r="K402" s="2" t="s">
        <v>116</v>
      </c>
      <c r="X402" s="52" t="s">
        <v>93</v>
      </c>
      <c r="Y402" s="8">
        <v>10136</v>
      </c>
      <c r="Z402" s="8" t="s">
        <v>645</v>
      </c>
      <c r="AA402" s="8">
        <v>2</v>
      </c>
    </row>
    <row r="403" spans="3:27" ht="30" x14ac:dyDescent="0.25">
      <c r="C403" s="1" t="str">
        <f>_xlfn.XLOOKUP(Tabla9[[#This Row],[PROGRAMA ORIGEN]],PROGRAMAS_N[PROGRAMAS ORIGEN],PROGRAMAS_N[NIVEL],"")</f>
        <v>TÉCNICO</v>
      </c>
      <c r="D403" s="16" t="s">
        <v>208</v>
      </c>
      <c r="E403" s="14">
        <f t="shared" ref="E403:F404" si="1">E402</f>
        <v>270401053</v>
      </c>
      <c r="F403" s="47" t="str">
        <f t="shared" si="1"/>
        <v>MANTENER EL CULTIVO SEGÚN RECOMENDACIONES AGRONÓMICAS.</v>
      </c>
      <c r="G403" s="1" cm="1">
        <f t="array" ref="G403">+_xlfn.XLOOKUP(Tabla9[[#This Row],[ESPACIO ACADÉMICO DESTINO]]&amp;Tabla9[[#This Row],[PROGRAMA DESTINO]],Tabla49[ESPACIO ACADÉMICO DESTINO]&amp;Tabla49[PROGRAMA],Tabla49[CÓDIGO],"")</f>
        <v>16540</v>
      </c>
      <c r="H403" s="1" t="s">
        <v>631</v>
      </c>
      <c r="I403" s="14" cm="1">
        <f t="array" ref="I403">+_xlfn.XLOOKUP(Tabla9[[#This Row],[ESPACIO ACADÉMICO DESTINO]]&amp;Tabla9[[#This Row],[PROGRAMA DESTINO]],Tabla49[ESPACIO ACADÉMICO DESTINO]&amp;Tabla49[PROGRAMA],Tabla49[CRÉDITOS],"")</f>
        <v>3</v>
      </c>
      <c r="J403" s="14">
        <v>4.5</v>
      </c>
      <c r="K403" s="2" t="s">
        <v>116</v>
      </c>
      <c r="X403" s="52" t="s">
        <v>93</v>
      </c>
      <c r="Y403" s="8">
        <v>95112</v>
      </c>
      <c r="Z403" s="8" t="s">
        <v>646</v>
      </c>
      <c r="AA403" s="8">
        <v>2</v>
      </c>
    </row>
    <row r="404" spans="3:27" ht="30" x14ac:dyDescent="0.25">
      <c r="C404" s="1" t="str">
        <f>_xlfn.XLOOKUP(Tabla9[[#This Row],[PROGRAMA ORIGEN]],PROGRAMAS_N[PROGRAMAS ORIGEN],PROGRAMAS_N[NIVEL],"")</f>
        <v>TÉCNICO</v>
      </c>
      <c r="D404" s="16" t="s">
        <v>208</v>
      </c>
      <c r="E404" s="14">
        <f t="shared" si="1"/>
        <v>270401053</v>
      </c>
      <c r="F404" s="47" t="str">
        <f t="shared" si="1"/>
        <v>MANTENER EL CULTIVO SEGÚN RECOMENDACIONES AGRONÓMICAS.</v>
      </c>
      <c r="G404" s="1" cm="1">
        <f t="array" ref="G404">+_xlfn.XLOOKUP(Tabla9[[#This Row],[ESPACIO ACADÉMICO DESTINO]]&amp;Tabla9[[#This Row],[PROGRAMA DESTINO]],Tabla49[ESPACIO ACADÉMICO DESTINO]&amp;Tabla49[PROGRAMA],Tabla49[CÓDIGO],"")</f>
        <v>16541</v>
      </c>
      <c r="H404" s="1" t="s">
        <v>647</v>
      </c>
      <c r="I404" s="14" cm="1">
        <f t="array" ref="I404">+_xlfn.XLOOKUP(Tabla9[[#This Row],[ESPACIO ACADÉMICO DESTINO]]&amp;Tabla9[[#This Row],[PROGRAMA DESTINO]],Tabla49[ESPACIO ACADÉMICO DESTINO]&amp;Tabla49[PROGRAMA],Tabla49[CRÉDITOS],"")</f>
        <v>3</v>
      </c>
      <c r="J404" s="14">
        <v>4.5</v>
      </c>
      <c r="K404" s="2" t="s">
        <v>116</v>
      </c>
      <c r="X404" s="52" t="s">
        <v>93</v>
      </c>
      <c r="Y404" s="8">
        <v>10141</v>
      </c>
      <c r="Z404" s="8" t="s">
        <v>648</v>
      </c>
      <c r="AA404" s="8">
        <v>3</v>
      </c>
    </row>
    <row r="405" spans="3:27" ht="30" x14ac:dyDescent="0.25">
      <c r="C405" s="1" t="str">
        <f>_xlfn.XLOOKUP(Tabla9[[#This Row],[PROGRAMA ORIGEN]],PROGRAMAS_N[PROGRAMAS ORIGEN],PROGRAMAS_N[NIVEL],"")</f>
        <v>TÉCNICO</v>
      </c>
      <c r="D405" s="16" t="s">
        <v>208</v>
      </c>
      <c r="E405" s="14">
        <v>270401004</v>
      </c>
      <c r="F405" s="47" t="s">
        <v>649</v>
      </c>
      <c r="G405" s="1" cm="1">
        <f t="array" ref="G405">+_xlfn.XLOOKUP(Tabla9[[#This Row],[ESPACIO ACADÉMICO DESTINO]]&amp;Tabla9[[#This Row],[PROGRAMA DESTINO]],Tabla49[ESPACIO ACADÉMICO DESTINO]&amp;Tabla49[PROGRAMA],Tabla49[CÓDIGO],"")</f>
        <v>16542</v>
      </c>
      <c r="H405" s="1" t="s">
        <v>650</v>
      </c>
      <c r="I405" s="14" cm="1">
        <f t="array" ref="I405">+_xlfn.XLOOKUP(Tabla9[[#This Row],[ESPACIO ACADÉMICO DESTINO]]&amp;Tabla9[[#This Row],[PROGRAMA DESTINO]],Tabla49[ESPACIO ACADÉMICO DESTINO]&amp;Tabla49[PROGRAMA],Tabla49[CRÉDITOS],"")</f>
        <v>3</v>
      </c>
      <c r="J405" s="14">
        <v>4.5</v>
      </c>
      <c r="K405" s="2" t="s">
        <v>116</v>
      </c>
      <c r="X405" s="52" t="s">
        <v>93</v>
      </c>
      <c r="Y405" s="8">
        <v>10142</v>
      </c>
      <c r="Z405" s="8" t="s">
        <v>651</v>
      </c>
      <c r="AA405" s="8">
        <v>3</v>
      </c>
    </row>
    <row r="406" spans="3:27" ht="30" x14ac:dyDescent="0.25">
      <c r="C406" s="1" t="str">
        <f>_xlfn.XLOOKUP(Tabla9[[#This Row],[PROGRAMA ORIGEN]],PROGRAMAS_N[PROGRAMAS ORIGEN],PROGRAMAS_N[NIVEL],"")</f>
        <v>TÉCNICO</v>
      </c>
      <c r="D406" s="16" t="s">
        <v>211</v>
      </c>
      <c r="E406" s="14">
        <v>270501002</v>
      </c>
      <c r="F406" s="10" t="s">
        <v>652</v>
      </c>
      <c r="G406" s="10" cm="1">
        <f t="array" ref="G406">+_xlfn.XLOOKUP(Tabla9[[#This Row],[ESPACIO ACADÉMICO DESTINO]]&amp;Tabla9[[#This Row],[PROGRAMA DESTINO]],Tabla49[ESPACIO ACADÉMICO DESTINO]&amp;Tabla49[PROGRAMA],Tabla49[CÓDIGO],"")</f>
        <v>16734</v>
      </c>
      <c r="H406" s="10" t="s">
        <v>467</v>
      </c>
      <c r="I406" s="14" cm="1">
        <f t="array" ref="I406">+_xlfn.XLOOKUP(Tabla9[[#This Row],[ESPACIO ACADÉMICO DESTINO]]&amp;Tabla9[[#This Row],[PROGRAMA DESTINO]],Tabla49[ESPACIO ACADÉMICO DESTINO]&amp;Tabla49[PROGRAMA],Tabla49[CRÉDITOS],"")</f>
        <v>3</v>
      </c>
      <c r="J406" s="14">
        <v>4.5</v>
      </c>
      <c r="K406" s="2" t="s">
        <v>116</v>
      </c>
      <c r="X406" s="52" t="s">
        <v>93</v>
      </c>
      <c r="Y406" s="8">
        <v>10143</v>
      </c>
      <c r="Z406" s="8" t="s">
        <v>653</v>
      </c>
      <c r="AA406" s="8">
        <v>3</v>
      </c>
    </row>
    <row r="407" spans="3:27" ht="30" x14ac:dyDescent="0.25">
      <c r="C407" s="1" t="str">
        <f>_xlfn.XLOOKUP(Tabla9[[#This Row],[PROGRAMA ORIGEN]],PROGRAMAS_N[PROGRAMAS ORIGEN],PROGRAMAS_N[NIVEL],"")</f>
        <v>TÉCNICO</v>
      </c>
      <c r="D407" s="16" t="s">
        <v>211</v>
      </c>
      <c r="E407" s="14">
        <v>270501002</v>
      </c>
      <c r="F407" s="10" t="s">
        <v>652</v>
      </c>
      <c r="G407" s="1" cm="1">
        <f t="array" ref="G407">+_xlfn.XLOOKUP(Tabla9[[#This Row],[ESPACIO ACADÉMICO DESTINO]]&amp;Tabla9[[#This Row],[PROGRAMA DESTINO]],Tabla49[ESPACIO ACADÉMICO DESTINO]&amp;Tabla49[PROGRAMA],Tabla49[CÓDIGO],"")</f>
        <v>73492</v>
      </c>
      <c r="H407" s="1" t="s">
        <v>481</v>
      </c>
      <c r="I407" s="14" cm="1">
        <f t="array" ref="I407">+_xlfn.XLOOKUP(Tabla9[[#This Row],[ESPACIO ACADÉMICO DESTINO]]&amp;Tabla9[[#This Row],[PROGRAMA DESTINO]],Tabla49[ESPACIO ACADÉMICO DESTINO]&amp;Tabla49[PROGRAMA],Tabla49[CRÉDITOS],"")</f>
        <v>2</v>
      </c>
      <c r="J407" s="14">
        <v>4.5</v>
      </c>
      <c r="K407" s="2" t="s">
        <v>116</v>
      </c>
      <c r="X407" s="52" t="s">
        <v>93</v>
      </c>
      <c r="Y407" s="8">
        <v>10144</v>
      </c>
      <c r="Z407" s="8" t="s">
        <v>485</v>
      </c>
      <c r="AA407" s="8">
        <v>3</v>
      </c>
    </row>
    <row r="408" spans="3:27" ht="30" x14ac:dyDescent="0.25">
      <c r="C408" s="1" t="str">
        <f>_xlfn.XLOOKUP(Tabla9[[#This Row],[PROGRAMA ORIGEN]],PROGRAMAS_N[PROGRAMAS ORIGEN],PROGRAMAS_N[NIVEL],"")</f>
        <v>TÉCNICO</v>
      </c>
      <c r="D408" s="16" t="s">
        <v>211</v>
      </c>
      <c r="E408" s="14">
        <v>270501004</v>
      </c>
      <c r="F408" s="10" t="s">
        <v>654</v>
      </c>
      <c r="G408" s="1" cm="1">
        <f t="array" ref="G408">+_xlfn.XLOOKUP(Tabla9[[#This Row],[ESPACIO ACADÉMICO DESTINO]]&amp;Tabla9[[#This Row],[PROGRAMA DESTINO]],Tabla49[ESPACIO ACADÉMICO DESTINO]&amp;Tabla49[PROGRAMA],Tabla49[CÓDIGO],"")</f>
        <v>73506</v>
      </c>
      <c r="H408" s="1" t="s">
        <v>531</v>
      </c>
      <c r="I408" s="14" cm="1">
        <f t="array" ref="I408">+_xlfn.XLOOKUP(Tabla9[[#This Row],[ESPACIO ACADÉMICO DESTINO]]&amp;Tabla9[[#This Row],[PROGRAMA DESTINO]],Tabla49[ESPACIO ACADÉMICO DESTINO]&amp;Tabla49[PROGRAMA],Tabla49[CRÉDITOS],"")</f>
        <v>2</v>
      </c>
      <c r="J408" s="14">
        <v>4.5</v>
      </c>
      <c r="K408" s="2" t="s">
        <v>116</v>
      </c>
      <c r="X408" s="52" t="s">
        <v>93</v>
      </c>
      <c r="Y408" s="8">
        <v>10145</v>
      </c>
      <c r="Z408" s="8" t="s">
        <v>297</v>
      </c>
      <c r="AA408" s="8">
        <v>2</v>
      </c>
    </row>
    <row r="409" spans="3:27" ht="30" x14ac:dyDescent="0.25">
      <c r="C409" s="1" t="str">
        <f>_xlfn.XLOOKUP(Tabla9[[#This Row],[PROGRAMA ORIGEN]],PROGRAMAS_N[PROGRAMAS ORIGEN],PROGRAMAS_N[NIVEL],"")</f>
        <v>TÉCNICO</v>
      </c>
      <c r="D409" s="16" t="s">
        <v>211</v>
      </c>
      <c r="E409" s="14">
        <v>270501034</v>
      </c>
      <c r="F409" s="10" t="s">
        <v>626</v>
      </c>
      <c r="G409" s="1" cm="1">
        <f t="array" ref="G409">+_xlfn.XLOOKUP(Tabla9[[#This Row],[ESPACIO ACADÉMICO DESTINO]]&amp;Tabla9[[#This Row],[PROGRAMA DESTINO]],Tabla49[ESPACIO ACADÉMICO DESTINO]&amp;Tabla49[PROGRAMA],Tabla49[CÓDIGO],"")</f>
        <v>73501</v>
      </c>
      <c r="H409" s="1" t="s">
        <v>516</v>
      </c>
      <c r="I409" s="14" cm="1">
        <f t="array" ref="I409">+_xlfn.XLOOKUP(Tabla9[[#This Row],[ESPACIO ACADÉMICO DESTINO]]&amp;Tabla9[[#This Row],[PROGRAMA DESTINO]],Tabla49[ESPACIO ACADÉMICO DESTINO]&amp;Tabla49[PROGRAMA],Tabla49[CRÉDITOS],"")</f>
        <v>3</v>
      </c>
      <c r="J409" s="14">
        <v>4.5</v>
      </c>
      <c r="K409" s="2" t="s">
        <v>116</v>
      </c>
      <c r="X409" s="52" t="s">
        <v>93</v>
      </c>
      <c r="Y409" s="8">
        <v>10197</v>
      </c>
      <c r="Z409" s="8" t="s">
        <v>655</v>
      </c>
      <c r="AA409" s="8">
        <v>4</v>
      </c>
    </row>
    <row r="410" spans="3:27" ht="30" x14ac:dyDescent="0.25">
      <c r="C410" s="1" t="str">
        <f>_xlfn.XLOOKUP(Tabla9[[#This Row],[PROGRAMA ORIGEN]],PROGRAMAS_N[PROGRAMAS ORIGEN],PROGRAMAS_N[NIVEL],"")</f>
        <v>TÉCNICO</v>
      </c>
      <c r="D410" s="16" t="s">
        <v>211</v>
      </c>
      <c r="E410" s="14">
        <v>270501034</v>
      </c>
      <c r="F410" s="10" t="s">
        <v>626</v>
      </c>
      <c r="G410" s="1" cm="1">
        <f t="array" ref="G410">+_xlfn.XLOOKUP(Tabla9[[#This Row],[ESPACIO ACADÉMICO DESTINO]]&amp;Tabla9[[#This Row],[PROGRAMA DESTINO]],Tabla49[ESPACIO ACADÉMICO DESTINO]&amp;Tabla49[PROGRAMA],Tabla49[CÓDIGO],"")</f>
        <v>73495</v>
      </c>
      <c r="H410" s="1" t="s">
        <v>488</v>
      </c>
      <c r="I410" s="14" cm="1">
        <f t="array" ref="I410">+_xlfn.XLOOKUP(Tabla9[[#This Row],[ESPACIO ACADÉMICO DESTINO]]&amp;Tabla9[[#This Row],[PROGRAMA DESTINO]],Tabla49[ESPACIO ACADÉMICO DESTINO]&amp;Tabla49[PROGRAMA],Tabla49[CRÉDITOS],"")</f>
        <v>3</v>
      </c>
      <c r="J410" s="14">
        <v>4.5</v>
      </c>
      <c r="K410" s="2" t="s">
        <v>116</v>
      </c>
      <c r="X410" s="52" t="s">
        <v>93</v>
      </c>
      <c r="Y410" s="8">
        <v>10148</v>
      </c>
      <c r="Z410" s="8" t="s">
        <v>491</v>
      </c>
      <c r="AA410" s="8">
        <v>3</v>
      </c>
    </row>
    <row r="411" spans="3:27" ht="30" x14ac:dyDescent="0.25">
      <c r="C411" s="1" t="str">
        <f>_xlfn.XLOOKUP(Tabla9[[#This Row],[PROGRAMA ORIGEN]],PROGRAMAS_N[PROGRAMAS ORIGEN],PROGRAMAS_N[NIVEL],"")</f>
        <v>TÉCNICO</v>
      </c>
      <c r="D411" s="16" t="s">
        <v>211</v>
      </c>
      <c r="E411" s="14">
        <v>270501034</v>
      </c>
      <c r="F411" s="10" t="s">
        <v>626</v>
      </c>
      <c r="G411" s="1" cm="1">
        <f t="array" ref="G411">+_xlfn.XLOOKUP(Tabla9[[#This Row],[ESPACIO ACADÉMICO DESTINO]]&amp;Tabla9[[#This Row],[PROGRAMA DESTINO]],Tabla49[ESPACIO ACADÉMICO DESTINO]&amp;Tabla49[PROGRAMA],Tabla49[CÓDIGO],"")</f>
        <v>73494</v>
      </c>
      <c r="H411" s="1" t="s">
        <v>486</v>
      </c>
      <c r="I411" s="14" cm="1">
        <f t="array" ref="I411">+_xlfn.XLOOKUP(Tabla9[[#This Row],[ESPACIO ACADÉMICO DESTINO]]&amp;Tabla9[[#This Row],[PROGRAMA DESTINO]],Tabla49[ESPACIO ACADÉMICO DESTINO]&amp;Tabla49[PROGRAMA],Tabla49[CRÉDITOS],"")</f>
        <v>3</v>
      </c>
      <c r="J411" s="14">
        <v>4.5</v>
      </c>
      <c r="K411" s="2" t="s">
        <v>116</v>
      </c>
      <c r="X411" s="52" t="s">
        <v>93</v>
      </c>
      <c r="Y411" s="8">
        <v>10149</v>
      </c>
      <c r="Z411" s="8" t="s">
        <v>656</v>
      </c>
      <c r="AA411" s="8">
        <v>3</v>
      </c>
    </row>
    <row r="412" spans="3:27" ht="30" x14ac:dyDescent="0.25">
      <c r="C412" s="1" t="str">
        <f>_xlfn.XLOOKUP(Tabla9[[#This Row],[PROGRAMA ORIGEN]],PROGRAMAS_N[PROGRAMAS ORIGEN],PROGRAMAS_N[NIVEL],"")</f>
        <v>TÉCNICO</v>
      </c>
      <c r="D412" s="16" t="s">
        <v>211</v>
      </c>
      <c r="E412" s="14">
        <v>270501034</v>
      </c>
      <c r="F412" s="10" t="s">
        <v>626</v>
      </c>
      <c r="G412" s="1" cm="1">
        <f t="array" ref="G412">+_xlfn.XLOOKUP(Tabla9[[#This Row],[ESPACIO ACADÉMICO DESTINO]]&amp;Tabla9[[#This Row],[PROGRAMA DESTINO]],Tabla49[ESPACIO ACADÉMICO DESTINO]&amp;Tabla49[PROGRAMA],Tabla49[CÓDIGO],"")</f>
        <v>73496</v>
      </c>
      <c r="H412" s="1" t="s">
        <v>495</v>
      </c>
      <c r="I412" s="14" cm="1">
        <f t="array" ref="I412">+_xlfn.XLOOKUP(Tabla9[[#This Row],[ESPACIO ACADÉMICO DESTINO]]&amp;Tabla9[[#This Row],[PROGRAMA DESTINO]],Tabla49[ESPACIO ACADÉMICO DESTINO]&amp;Tabla49[PROGRAMA],Tabla49[CRÉDITOS],"")</f>
        <v>3</v>
      </c>
      <c r="J412" s="14">
        <v>4.5</v>
      </c>
      <c r="K412" s="2" t="s">
        <v>116</v>
      </c>
      <c r="X412" s="52" t="s">
        <v>93</v>
      </c>
      <c r="Y412" s="8">
        <v>10150</v>
      </c>
      <c r="Z412" s="8" t="s">
        <v>657</v>
      </c>
      <c r="AA412" s="8">
        <v>3</v>
      </c>
    </row>
    <row r="413" spans="3:27" ht="30" x14ac:dyDescent="0.25">
      <c r="C413" s="1" t="str">
        <f>_xlfn.XLOOKUP(Tabla9[[#This Row],[PROGRAMA ORIGEN]],PROGRAMAS_N[PROGRAMAS ORIGEN],PROGRAMAS_N[NIVEL],"")</f>
        <v>TÉCNICO</v>
      </c>
      <c r="D413" s="16" t="s">
        <v>212</v>
      </c>
      <c r="E413" s="14">
        <v>270501040</v>
      </c>
      <c r="F413" s="10" t="s">
        <v>658</v>
      </c>
      <c r="G413" s="10" cm="1">
        <f t="array" ref="G413">+_xlfn.XLOOKUP(Tabla9[[#This Row],[ESPACIO ACADÉMICO DESTINO]]&amp;Tabla9[[#This Row],[PROGRAMA DESTINO]],Tabla49[ESPACIO ACADÉMICO DESTINO]&amp;Tabla49[PROGRAMA],Tabla49[CÓDIGO],"")</f>
        <v>73506</v>
      </c>
      <c r="H413" s="10" t="s">
        <v>531</v>
      </c>
      <c r="I413" s="14" cm="1">
        <f t="array" ref="I413">+_xlfn.XLOOKUP(Tabla9[[#This Row],[ESPACIO ACADÉMICO DESTINO]]&amp;Tabla9[[#This Row],[PROGRAMA DESTINO]],Tabla49[ESPACIO ACADÉMICO DESTINO]&amp;Tabla49[PROGRAMA],Tabla49[CRÉDITOS],"")</f>
        <v>2</v>
      </c>
      <c r="J413" s="14">
        <v>4.5</v>
      </c>
      <c r="K413" s="2" t="s">
        <v>116</v>
      </c>
      <c r="X413" s="52" t="s">
        <v>93</v>
      </c>
      <c r="Y413" s="8">
        <v>10198</v>
      </c>
      <c r="Z413" s="8" t="s">
        <v>659</v>
      </c>
      <c r="AA413" s="8">
        <v>3</v>
      </c>
    </row>
    <row r="414" spans="3:27" ht="30" x14ac:dyDescent="0.25">
      <c r="C414" s="1" t="str">
        <f>_xlfn.XLOOKUP(Tabla9[[#This Row],[PROGRAMA ORIGEN]],PROGRAMAS_N[PROGRAMAS ORIGEN],PROGRAMAS_N[NIVEL],"")</f>
        <v>TÉCNICO</v>
      </c>
      <c r="D414" s="16" t="s">
        <v>212</v>
      </c>
      <c r="E414" s="14">
        <v>270501040</v>
      </c>
      <c r="F414" s="10" t="s">
        <v>658</v>
      </c>
      <c r="G414" s="10" cm="1">
        <f t="array" ref="G414">+_xlfn.XLOOKUP(Tabla9[[#This Row],[ESPACIO ACADÉMICO DESTINO]]&amp;Tabla9[[#This Row],[PROGRAMA DESTINO]],Tabla49[ESPACIO ACADÉMICO DESTINO]&amp;Tabla49[PROGRAMA],Tabla49[CÓDIGO],"")</f>
        <v>16740</v>
      </c>
      <c r="H414" s="10" t="s">
        <v>483</v>
      </c>
      <c r="I414" s="14" cm="1">
        <f t="array" ref="I414">+_xlfn.XLOOKUP(Tabla9[[#This Row],[ESPACIO ACADÉMICO DESTINO]]&amp;Tabla9[[#This Row],[PROGRAMA DESTINO]],Tabla49[ESPACIO ACADÉMICO DESTINO]&amp;Tabla49[PROGRAMA],Tabla49[CRÉDITOS],"")</f>
        <v>2</v>
      </c>
      <c r="J414" s="14">
        <v>4.5</v>
      </c>
      <c r="K414" s="2" t="s">
        <v>116</v>
      </c>
      <c r="X414" s="52" t="s">
        <v>93</v>
      </c>
      <c r="Y414" s="8">
        <v>95110</v>
      </c>
      <c r="Z414" s="8" t="s">
        <v>160</v>
      </c>
      <c r="AA414" s="8">
        <v>2</v>
      </c>
    </row>
    <row r="415" spans="3:27" ht="30" x14ac:dyDescent="0.25">
      <c r="C415" s="1" t="str">
        <f>_xlfn.XLOOKUP(Tabla9[[#This Row],[PROGRAMA ORIGEN]],PROGRAMAS_N[PROGRAMAS ORIGEN],PROGRAMAS_N[NIVEL],"")</f>
        <v>TÉCNICO</v>
      </c>
      <c r="D415" s="16" t="s">
        <v>212</v>
      </c>
      <c r="E415" s="14">
        <v>270501041</v>
      </c>
      <c r="F415" s="10" t="s">
        <v>660</v>
      </c>
      <c r="G415" s="1" cm="1">
        <f t="array" ref="G415">+_xlfn.XLOOKUP(Tabla9[[#This Row],[ESPACIO ACADÉMICO DESTINO]]&amp;Tabla9[[#This Row],[PROGRAMA DESTINO]],Tabla49[ESPACIO ACADÉMICO DESTINO]&amp;Tabla49[PROGRAMA],Tabla49[CÓDIGO],"")</f>
        <v>73496</v>
      </c>
      <c r="H415" s="1" t="s">
        <v>495</v>
      </c>
      <c r="I415" s="14" cm="1">
        <f t="array" ref="I415">+_xlfn.XLOOKUP(Tabla9[[#This Row],[ESPACIO ACADÉMICO DESTINO]]&amp;Tabla9[[#This Row],[PROGRAMA DESTINO]],Tabla49[ESPACIO ACADÉMICO DESTINO]&amp;Tabla49[PROGRAMA],Tabla49[CRÉDITOS],"")</f>
        <v>3</v>
      </c>
      <c r="J415" s="14">
        <v>4.5</v>
      </c>
      <c r="K415" s="2" t="s">
        <v>116</v>
      </c>
      <c r="X415" s="52" t="s">
        <v>93</v>
      </c>
      <c r="Y415" s="8">
        <v>10146</v>
      </c>
      <c r="Z415" s="8" t="s">
        <v>501</v>
      </c>
      <c r="AA415" s="8">
        <v>2</v>
      </c>
    </row>
    <row r="416" spans="3:27" ht="30" x14ac:dyDescent="0.25">
      <c r="C416" s="1" t="str">
        <f>_xlfn.XLOOKUP(Tabla9[[#This Row],[PROGRAMA ORIGEN]],PROGRAMAS_N[PROGRAMAS ORIGEN],PROGRAMAS_N[NIVEL],"")</f>
        <v>TÉCNICO</v>
      </c>
      <c r="D416" s="16" t="s">
        <v>212</v>
      </c>
      <c r="E416" s="14">
        <v>270501044</v>
      </c>
      <c r="F416" s="10" t="s">
        <v>626</v>
      </c>
      <c r="G416" s="1" cm="1">
        <f t="array" ref="G416">+_xlfn.XLOOKUP(Tabla9[[#This Row],[ESPACIO ACADÉMICO DESTINO]]&amp;Tabla9[[#This Row],[PROGRAMA DESTINO]],Tabla49[ESPACIO ACADÉMICO DESTINO]&amp;Tabla49[PROGRAMA],Tabla49[CÓDIGO],"")</f>
        <v>73500</v>
      </c>
      <c r="H416" s="1" t="s">
        <v>661</v>
      </c>
      <c r="I416" s="14" cm="1">
        <f t="array" ref="I416">+_xlfn.XLOOKUP(Tabla9[[#This Row],[ESPACIO ACADÉMICO DESTINO]]&amp;Tabla9[[#This Row],[PROGRAMA DESTINO]],Tabla49[ESPACIO ACADÉMICO DESTINO]&amp;Tabla49[PROGRAMA],Tabla49[CRÉDITOS],"")</f>
        <v>3</v>
      </c>
      <c r="J416" s="14">
        <v>4.5</v>
      </c>
      <c r="K416" s="2" t="s">
        <v>116</v>
      </c>
      <c r="X416" s="52" t="s">
        <v>93</v>
      </c>
      <c r="Y416" s="8">
        <v>10152</v>
      </c>
      <c r="Z416" s="8" t="s">
        <v>662</v>
      </c>
      <c r="AA416" s="8">
        <v>3</v>
      </c>
    </row>
    <row r="417" spans="3:27" ht="30" x14ac:dyDescent="0.25">
      <c r="C417" s="1" t="str">
        <f>_xlfn.XLOOKUP(Tabla9[[#This Row],[PROGRAMA ORIGEN]],PROGRAMAS_N[PROGRAMAS ORIGEN],PROGRAMAS_N[NIVEL],"")</f>
        <v>TÉCNICO</v>
      </c>
      <c r="D417" s="16" t="s">
        <v>212</v>
      </c>
      <c r="E417" s="14">
        <v>270501044</v>
      </c>
      <c r="F417" s="10" t="s">
        <v>626</v>
      </c>
      <c r="G417" s="1" cm="1">
        <f t="array" ref="G417">+_xlfn.XLOOKUP(Tabla9[[#This Row],[ESPACIO ACADÉMICO DESTINO]]&amp;Tabla9[[#This Row],[PROGRAMA DESTINO]],Tabla49[ESPACIO ACADÉMICO DESTINO]&amp;Tabla49[PROGRAMA],Tabla49[CÓDIGO],"")</f>
        <v>73507</v>
      </c>
      <c r="H417" s="1" t="s">
        <v>532</v>
      </c>
      <c r="I417" s="14" cm="1">
        <f t="array" ref="I417">+_xlfn.XLOOKUP(Tabla9[[#This Row],[ESPACIO ACADÉMICO DESTINO]]&amp;Tabla9[[#This Row],[PROGRAMA DESTINO]],Tabla49[ESPACIO ACADÉMICO DESTINO]&amp;Tabla49[PROGRAMA],Tabla49[CRÉDITOS],"")</f>
        <v>2</v>
      </c>
      <c r="J417" s="14">
        <v>4.5</v>
      </c>
      <c r="K417" s="2" t="s">
        <v>116</v>
      </c>
      <c r="X417" s="52" t="s">
        <v>93</v>
      </c>
      <c r="Y417" s="8">
        <v>95113</v>
      </c>
      <c r="Z417" s="8" t="s">
        <v>214</v>
      </c>
      <c r="AA417" s="8">
        <v>2</v>
      </c>
    </row>
    <row r="418" spans="3:27" ht="30" x14ac:dyDescent="0.25">
      <c r="C418" s="1" t="str">
        <f>_xlfn.XLOOKUP(Tabla9[[#This Row],[PROGRAMA ORIGEN]],PROGRAMAS_N[PROGRAMAS ORIGEN],PROGRAMAS_N[NIVEL],"")</f>
        <v>TÉCNICO</v>
      </c>
      <c r="D418" s="16" t="s">
        <v>212</v>
      </c>
      <c r="E418" s="14">
        <v>270501042</v>
      </c>
      <c r="F418" s="10" t="s">
        <v>663</v>
      </c>
      <c r="G418" s="1" cm="1">
        <f t="array" ref="G418">+_xlfn.XLOOKUP(Tabla9[[#This Row],[ESPACIO ACADÉMICO DESTINO]]&amp;Tabla9[[#This Row],[PROGRAMA DESTINO]],Tabla49[ESPACIO ACADÉMICO DESTINO]&amp;Tabla49[PROGRAMA],Tabla49[CÓDIGO],"")</f>
        <v>73494</v>
      </c>
      <c r="H418" s="1" t="s">
        <v>486</v>
      </c>
      <c r="I418" s="14" cm="1">
        <f t="array" ref="I418">+_xlfn.XLOOKUP(Tabla9[[#This Row],[ESPACIO ACADÉMICO DESTINO]]&amp;Tabla9[[#This Row],[PROGRAMA DESTINO]],Tabla49[ESPACIO ACADÉMICO DESTINO]&amp;Tabla49[PROGRAMA],Tabla49[CRÉDITOS],"")</f>
        <v>3</v>
      </c>
      <c r="J418" s="14">
        <v>4.5</v>
      </c>
      <c r="K418" s="2" t="s">
        <v>116</v>
      </c>
      <c r="X418" s="52" t="s">
        <v>93</v>
      </c>
      <c r="Y418" s="8">
        <v>95137</v>
      </c>
      <c r="Z418" s="8" t="s">
        <v>664</v>
      </c>
      <c r="AA418" s="8">
        <v>3</v>
      </c>
    </row>
    <row r="419" spans="3:27" ht="30" x14ac:dyDescent="0.25">
      <c r="C419" s="1" t="str">
        <f>_xlfn.XLOOKUP(Tabla9[[#This Row],[PROGRAMA ORIGEN]],PROGRAMAS_N[PROGRAMAS ORIGEN],PROGRAMAS_N[NIVEL],"")</f>
        <v>TÉCNICO</v>
      </c>
      <c r="D419" s="16" t="s">
        <v>212</v>
      </c>
      <c r="E419" s="14">
        <v>270501043</v>
      </c>
      <c r="F419" s="10" t="s">
        <v>665</v>
      </c>
      <c r="G419" s="1" cm="1">
        <f t="array" ref="G419">+_xlfn.XLOOKUP(Tabla9[[#This Row],[ESPACIO ACADÉMICO DESTINO]]&amp;Tabla9[[#This Row],[PROGRAMA DESTINO]],Tabla49[ESPACIO ACADÉMICO DESTINO]&amp;Tabla49[PROGRAMA],Tabla49[CÓDIGO],"")</f>
        <v>73493</v>
      </c>
      <c r="H419" s="1" t="s">
        <v>482</v>
      </c>
      <c r="I419" s="14" cm="1">
        <f t="array" ref="I419">+_xlfn.XLOOKUP(Tabla9[[#This Row],[ESPACIO ACADÉMICO DESTINO]]&amp;Tabla9[[#This Row],[PROGRAMA DESTINO]],Tabla49[ESPACIO ACADÉMICO DESTINO]&amp;Tabla49[PROGRAMA],Tabla49[CRÉDITOS],"")</f>
        <v>2</v>
      </c>
      <c r="J419" s="14">
        <v>4.5</v>
      </c>
      <c r="K419" s="2" t="s">
        <v>116</v>
      </c>
      <c r="X419" s="52" t="s">
        <v>93</v>
      </c>
      <c r="Y419" s="8">
        <v>10153</v>
      </c>
      <c r="Z419" s="8" t="s">
        <v>666</v>
      </c>
      <c r="AA419" s="8">
        <v>3</v>
      </c>
    </row>
    <row r="420" spans="3:27" ht="30" x14ac:dyDescent="0.25">
      <c r="C420" s="1" t="str">
        <f>_xlfn.XLOOKUP(Tabla9[[#This Row],[PROGRAMA ORIGEN]],PROGRAMAS_N[PROGRAMAS ORIGEN],PROGRAMAS_N[NIVEL],"")</f>
        <v>TÉCNICO</v>
      </c>
      <c r="D420" s="16" t="s">
        <v>212</v>
      </c>
      <c r="E420" s="14">
        <v>270501045</v>
      </c>
      <c r="F420" s="10" t="s">
        <v>667</v>
      </c>
      <c r="G420" s="1" cm="1">
        <f t="array" ref="G420">+_xlfn.XLOOKUP(Tabla9[[#This Row],[ESPACIO ACADÉMICO DESTINO]]&amp;Tabla9[[#This Row],[PROGRAMA DESTINO]],Tabla49[ESPACIO ACADÉMICO DESTINO]&amp;Tabla49[PROGRAMA],Tabla49[CÓDIGO],"")</f>
        <v>73495</v>
      </c>
      <c r="H420" s="1" t="s">
        <v>488</v>
      </c>
      <c r="I420" s="14" cm="1">
        <f t="array" ref="I420">+_xlfn.XLOOKUP(Tabla9[[#This Row],[ESPACIO ACADÉMICO DESTINO]]&amp;Tabla9[[#This Row],[PROGRAMA DESTINO]],Tabla49[ESPACIO ACADÉMICO DESTINO]&amp;Tabla49[PROGRAMA],Tabla49[CRÉDITOS],"")</f>
        <v>3</v>
      </c>
      <c r="J420" s="14">
        <v>4.5</v>
      </c>
      <c r="K420" s="2" t="s">
        <v>116</v>
      </c>
      <c r="X420" s="52" t="s">
        <v>112</v>
      </c>
      <c r="Y420" s="8">
        <v>15135</v>
      </c>
      <c r="Z420" s="8" t="s">
        <v>56</v>
      </c>
      <c r="AA420" s="8">
        <v>3</v>
      </c>
    </row>
    <row r="421" spans="3:27" ht="30" x14ac:dyDescent="0.25">
      <c r="C421" s="1" t="str">
        <f>_xlfn.XLOOKUP(Tabla9[[#This Row],[PROGRAMA ORIGEN]],PROGRAMAS_N[PROGRAMAS ORIGEN],PROGRAMAS_N[NIVEL],"")</f>
        <v>TÉCNICO</v>
      </c>
      <c r="D421" s="16" t="s">
        <v>212</v>
      </c>
      <c r="E421" s="14">
        <v>270501045</v>
      </c>
      <c r="F421" s="10" t="s">
        <v>667</v>
      </c>
      <c r="G421" s="1" cm="1">
        <f t="array" ref="G421">+_xlfn.XLOOKUP(Tabla9[[#This Row],[ESPACIO ACADÉMICO DESTINO]]&amp;Tabla9[[#This Row],[PROGRAMA DESTINO]],Tabla49[ESPACIO ACADÉMICO DESTINO]&amp;Tabla49[PROGRAMA],Tabla49[CÓDIGO],"")</f>
        <v>73504</v>
      </c>
      <c r="H421" s="1" t="s">
        <v>668</v>
      </c>
      <c r="I421" s="14" cm="1">
        <f t="array" ref="I421">+_xlfn.XLOOKUP(Tabla9[[#This Row],[ESPACIO ACADÉMICO DESTINO]]&amp;Tabla9[[#This Row],[PROGRAMA DESTINO]],Tabla49[ESPACIO ACADÉMICO DESTINO]&amp;Tabla49[PROGRAMA],Tabla49[CRÉDITOS],"")</f>
        <v>3</v>
      </c>
      <c r="J421" s="14">
        <v>4.5</v>
      </c>
      <c r="K421" s="2" t="s">
        <v>116</v>
      </c>
      <c r="X421" s="52" t="s">
        <v>112</v>
      </c>
      <c r="Y421" s="8">
        <v>17847</v>
      </c>
      <c r="Z421" s="8" t="s">
        <v>669</v>
      </c>
      <c r="AA421" s="8">
        <v>3</v>
      </c>
    </row>
    <row r="422" spans="3:27" ht="30" x14ac:dyDescent="0.25">
      <c r="C422" s="1" t="str">
        <f>_xlfn.XLOOKUP(Tabla9[[#This Row],[PROGRAMA ORIGEN]],PROGRAMAS_N[PROGRAMAS ORIGEN],PROGRAMAS_N[NIVEL],"")</f>
        <v>TÉCNICO</v>
      </c>
      <c r="D422" s="16" t="s">
        <v>204</v>
      </c>
      <c r="E422" s="14">
        <v>260201001</v>
      </c>
      <c r="F422" s="10" t="s">
        <v>670</v>
      </c>
      <c r="G422" s="10" cm="1">
        <f t="array" ref="G422">+_xlfn.XLOOKUP(Tabla9[[#This Row],[ESPACIO ACADÉMICO DESTINO]]&amp;Tabla9[[#This Row],[PROGRAMA DESTINO]],Tabla49[ESPACIO ACADÉMICO DESTINO]&amp;Tabla49[PROGRAMA],Tabla49[CÓDIGO],"")</f>
        <v>16719</v>
      </c>
      <c r="H422" s="10" t="s">
        <v>391</v>
      </c>
      <c r="I422" s="14" cm="1">
        <f t="array" ref="I422">+_xlfn.XLOOKUP(Tabla9[[#This Row],[ESPACIO ACADÉMICO DESTINO]]&amp;Tabla9[[#This Row],[PROGRAMA DESTINO]],Tabla49[ESPACIO ACADÉMICO DESTINO]&amp;Tabla49[PROGRAMA],Tabla49[CRÉDITOS],"")</f>
        <v>2</v>
      </c>
      <c r="J422" s="14">
        <v>4.5</v>
      </c>
      <c r="K422" s="2" t="s">
        <v>116</v>
      </c>
      <c r="X422" s="52" t="s">
        <v>112</v>
      </c>
      <c r="Y422" s="8"/>
      <c r="Z422" s="8" t="s">
        <v>136</v>
      </c>
      <c r="AA422" s="8">
        <v>4</v>
      </c>
    </row>
    <row r="423" spans="3:27" ht="30" x14ac:dyDescent="0.25">
      <c r="C423" s="1" t="str">
        <f>_xlfn.XLOOKUP(Tabla9[[#This Row],[PROGRAMA ORIGEN]],PROGRAMAS_N[PROGRAMAS ORIGEN],PROGRAMAS_N[NIVEL],"")</f>
        <v>TÉCNICO</v>
      </c>
      <c r="D423" s="16" t="s">
        <v>204</v>
      </c>
      <c r="E423" s="14">
        <v>260201002</v>
      </c>
      <c r="F423" s="10" t="s">
        <v>670</v>
      </c>
      <c r="G423" s="1" cm="1">
        <f t="array" ref="G423">+_xlfn.XLOOKUP(Tabla9[[#This Row],[ESPACIO ACADÉMICO DESTINO]]&amp;Tabla9[[#This Row],[PROGRAMA DESTINO]],Tabla49[ESPACIO ACADÉMICO DESTINO]&amp;Tabla49[PROGRAMA],Tabla49[CÓDIGO],"")</f>
        <v>16720</v>
      </c>
      <c r="H423" s="1" t="s">
        <v>408</v>
      </c>
      <c r="I423" s="14" cm="1">
        <f t="array" ref="I423">+_xlfn.XLOOKUP(Tabla9[[#This Row],[ESPACIO ACADÉMICO DESTINO]]&amp;Tabla9[[#This Row],[PROGRAMA DESTINO]],Tabla49[ESPACIO ACADÉMICO DESTINO]&amp;Tabla49[PROGRAMA],Tabla49[CRÉDITOS],"")</f>
        <v>2</v>
      </c>
      <c r="J423" s="14">
        <v>4.5</v>
      </c>
      <c r="K423" s="2" t="s">
        <v>116</v>
      </c>
      <c r="X423" s="52" t="s">
        <v>112</v>
      </c>
      <c r="Y423" s="8">
        <v>17901</v>
      </c>
      <c r="Z423" s="8" t="s">
        <v>671</v>
      </c>
      <c r="AA423" s="8">
        <v>3</v>
      </c>
    </row>
    <row r="424" spans="3:27" ht="30" x14ac:dyDescent="0.25">
      <c r="C424" s="1" t="str">
        <f>_xlfn.XLOOKUP(Tabla9[[#This Row],[PROGRAMA ORIGEN]],PROGRAMAS_N[PROGRAMAS ORIGEN],PROGRAMAS_N[NIVEL],"")</f>
        <v>TÉCNICO</v>
      </c>
      <c r="D424" s="16" t="s">
        <v>204</v>
      </c>
      <c r="E424" s="14">
        <v>270405003</v>
      </c>
      <c r="F424" s="10" t="s">
        <v>672</v>
      </c>
      <c r="G424" s="1" cm="1">
        <f t="array" ref="G424">+_xlfn.XLOOKUP(Tabla9[[#This Row],[ESPACIO ACADÉMICO DESTINO]]&amp;Tabla9[[#This Row],[PROGRAMA DESTINO]],Tabla49[ESPACIO ACADÉMICO DESTINO]&amp;Tabla49[PROGRAMA],Tabla49[CÓDIGO],"")</f>
        <v>16539</v>
      </c>
      <c r="H424" s="1" t="s">
        <v>643</v>
      </c>
      <c r="I424" s="14" cm="1">
        <f t="array" ref="I424">+_xlfn.XLOOKUP(Tabla9[[#This Row],[ESPACIO ACADÉMICO DESTINO]]&amp;Tabla9[[#This Row],[PROGRAMA DESTINO]],Tabla49[ESPACIO ACADÉMICO DESTINO]&amp;Tabla49[PROGRAMA],Tabla49[CRÉDITOS],"")</f>
        <v>3</v>
      </c>
      <c r="J424" s="14">
        <v>4.5</v>
      </c>
      <c r="K424" s="2" t="s">
        <v>116</v>
      </c>
      <c r="X424" s="52" t="s">
        <v>112</v>
      </c>
      <c r="Y424" s="8">
        <v>95109</v>
      </c>
      <c r="Z424" s="8" t="s">
        <v>673</v>
      </c>
      <c r="AA424" s="8">
        <v>2</v>
      </c>
    </row>
    <row r="425" spans="3:27" ht="30" x14ac:dyDescent="0.25">
      <c r="C425" s="1" t="str">
        <f>_xlfn.XLOOKUP(Tabla9[[#This Row],[PROGRAMA ORIGEN]],PROGRAMAS_N[PROGRAMAS ORIGEN],PROGRAMAS_N[NIVEL],"")</f>
        <v>TÉCNICO</v>
      </c>
      <c r="D425" s="16" t="s">
        <v>204</v>
      </c>
      <c r="E425" s="14">
        <v>270405006</v>
      </c>
      <c r="F425" s="10" t="s">
        <v>626</v>
      </c>
      <c r="G425" s="1" cm="1">
        <f t="array" ref="G425">+_xlfn.XLOOKUP(Tabla9[[#This Row],[ESPACIO ACADÉMICO DESTINO]]&amp;Tabla9[[#This Row],[PROGRAMA DESTINO]],Tabla49[ESPACIO ACADÉMICO DESTINO]&amp;Tabla49[PROGRAMA],Tabla49[CÓDIGO],"")</f>
        <v>16540</v>
      </c>
      <c r="H425" s="1" t="s">
        <v>674</v>
      </c>
      <c r="I425" s="14" cm="1">
        <f t="array" ref="I425">+_xlfn.XLOOKUP(Tabla9[[#This Row],[ESPACIO ACADÉMICO DESTINO]]&amp;Tabla9[[#This Row],[PROGRAMA DESTINO]],Tabla49[ESPACIO ACADÉMICO DESTINO]&amp;Tabla49[PROGRAMA],Tabla49[CRÉDITOS],"")</f>
        <v>3</v>
      </c>
      <c r="J425" s="14">
        <v>4.5</v>
      </c>
      <c r="K425" s="2" t="s">
        <v>116</v>
      </c>
      <c r="X425" s="52" t="s">
        <v>112</v>
      </c>
      <c r="Y425" s="8">
        <v>17882</v>
      </c>
      <c r="Z425" s="8" t="s">
        <v>675</v>
      </c>
      <c r="AA425" s="8">
        <v>3</v>
      </c>
    </row>
    <row r="426" spans="3:27" ht="30" x14ac:dyDescent="0.25">
      <c r="C426" s="1" t="str">
        <f>_xlfn.XLOOKUP(Tabla9[[#This Row],[PROGRAMA ORIGEN]],PROGRAMAS_N[PROGRAMAS ORIGEN],PROGRAMAS_N[NIVEL],"")</f>
        <v>TÉCNICO</v>
      </c>
      <c r="D426" s="16" t="s">
        <v>216</v>
      </c>
      <c r="E426" s="14">
        <v>270501040</v>
      </c>
      <c r="F426" s="10" t="s">
        <v>658</v>
      </c>
      <c r="G426" s="10" cm="1">
        <f t="array" ref="G426">+_xlfn.XLOOKUP(Tabla9[[#This Row],[ESPACIO ACADÉMICO DESTINO]]&amp;Tabla9[[#This Row],[PROGRAMA DESTINO]],Tabla49[ESPACIO ACADÉMICO DESTINO]&amp;Tabla49[PROGRAMA],Tabla49[CÓDIGO],"")</f>
        <v>16740</v>
      </c>
      <c r="H426" s="10" t="s">
        <v>483</v>
      </c>
      <c r="I426" s="14" cm="1">
        <f t="array" ref="I426">+_xlfn.XLOOKUP(Tabla9[[#This Row],[ESPACIO ACADÉMICO DESTINO]]&amp;Tabla9[[#This Row],[PROGRAMA DESTINO]],Tabla49[ESPACIO ACADÉMICO DESTINO]&amp;Tabla49[PROGRAMA],Tabla49[CRÉDITOS],"")</f>
        <v>2</v>
      </c>
      <c r="J426" s="14">
        <v>4.5</v>
      </c>
      <c r="K426" s="2" t="s">
        <v>116</v>
      </c>
      <c r="X426" s="52" t="s">
        <v>112</v>
      </c>
      <c r="Y426" s="8">
        <v>17848</v>
      </c>
      <c r="Z426" s="8" t="s">
        <v>676</v>
      </c>
      <c r="AA426" s="8">
        <v>3</v>
      </c>
    </row>
    <row r="427" spans="3:27" ht="30" x14ac:dyDescent="0.25">
      <c r="C427" s="1" t="str">
        <f>_xlfn.XLOOKUP(Tabla9[[#This Row],[PROGRAMA ORIGEN]],PROGRAMAS_N[PROGRAMAS ORIGEN],PROGRAMAS_N[NIVEL],"")</f>
        <v>TÉCNICO</v>
      </c>
      <c r="D427" s="16" t="s">
        <v>216</v>
      </c>
      <c r="E427" s="14">
        <v>270501041</v>
      </c>
      <c r="F427" s="10" t="s">
        <v>658</v>
      </c>
      <c r="G427" s="1" cm="1">
        <f t="array" ref="G427">+_xlfn.XLOOKUP(Tabla9[[#This Row],[ESPACIO ACADÉMICO DESTINO]]&amp;Tabla9[[#This Row],[PROGRAMA DESTINO]],Tabla49[ESPACIO ACADÉMICO DESTINO]&amp;Tabla49[PROGRAMA],Tabla49[CÓDIGO],"")</f>
        <v>16730</v>
      </c>
      <c r="H427" s="1" t="s">
        <v>462</v>
      </c>
      <c r="I427" s="14" cm="1">
        <f t="array" ref="I427">+_xlfn.XLOOKUP(Tabla9[[#This Row],[ESPACIO ACADÉMICO DESTINO]]&amp;Tabla9[[#This Row],[PROGRAMA DESTINO]],Tabla49[ESPACIO ACADÉMICO DESTINO]&amp;Tabla49[PROGRAMA],Tabla49[CRÉDITOS],"")</f>
        <v>2</v>
      </c>
      <c r="J427" s="14">
        <v>4.5</v>
      </c>
      <c r="K427" s="2" t="s">
        <v>116</v>
      </c>
      <c r="X427" s="52" t="s">
        <v>112</v>
      </c>
      <c r="Y427" s="8">
        <v>17896</v>
      </c>
      <c r="Z427" s="8" t="s">
        <v>677</v>
      </c>
      <c r="AA427" s="8">
        <v>3</v>
      </c>
    </row>
    <row r="428" spans="3:27" ht="30" x14ac:dyDescent="0.25">
      <c r="C428" s="1" t="str">
        <f>_xlfn.XLOOKUP(Tabla9[[#This Row],[PROGRAMA ORIGEN]],PROGRAMAS_N[PROGRAMAS ORIGEN],PROGRAMAS_N[NIVEL],"")</f>
        <v>TÉCNICO</v>
      </c>
      <c r="D428" s="16" t="s">
        <v>216</v>
      </c>
      <c r="E428" s="14">
        <v>270501060</v>
      </c>
      <c r="F428" s="10" t="s">
        <v>678</v>
      </c>
      <c r="G428" s="1" cm="1">
        <f t="array" ref="G428">+_xlfn.XLOOKUP(Tabla9[[#This Row],[ESPACIO ACADÉMICO DESTINO]]&amp;Tabla9[[#This Row],[PROGRAMA DESTINO]],Tabla49[ESPACIO ACADÉMICO DESTINO]&amp;Tabla49[PROGRAMA],Tabla49[CÓDIGO],"")</f>
        <v>16539</v>
      </c>
      <c r="H428" s="1" t="s">
        <v>679</v>
      </c>
      <c r="I428" s="14" cm="1">
        <f t="array" ref="I428">+_xlfn.XLOOKUP(Tabla9[[#This Row],[ESPACIO ACADÉMICO DESTINO]]&amp;Tabla9[[#This Row],[PROGRAMA DESTINO]],Tabla49[ESPACIO ACADÉMICO DESTINO]&amp;Tabla49[PROGRAMA],Tabla49[CRÉDITOS],"")</f>
        <v>3</v>
      </c>
      <c r="J428" s="14">
        <v>4.5</v>
      </c>
      <c r="K428" s="2" t="s">
        <v>116</v>
      </c>
      <c r="X428" s="52" t="s">
        <v>112</v>
      </c>
      <c r="Y428" s="8">
        <v>17002</v>
      </c>
      <c r="Z428" s="8" t="s">
        <v>66</v>
      </c>
      <c r="AA428" s="8">
        <v>2</v>
      </c>
    </row>
    <row r="429" spans="3:27" ht="30" x14ac:dyDescent="0.25">
      <c r="C429" s="1" t="str">
        <f>_xlfn.XLOOKUP(Tabla9[[#This Row],[PROGRAMA ORIGEN]],PROGRAMAS_N[PROGRAMAS ORIGEN],PROGRAMAS_N[NIVEL],"")</f>
        <v>TÉCNICO</v>
      </c>
      <c r="D429" s="16" t="s">
        <v>216</v>
      </c>
      <c r="E429" s="14">
        <v>260101002</v>
      </c>
      <c r="F429" s="10" t="s">
        <v>626</v>
      </c>
      <c r="G429" s="1" cm="1">
        <f t="array" ref="G429">+_xlfn.XLOOKUP(Tabla9[[#This Row],[ESPACIO ACADÉMICO DESTINO]]&amp;Tabla9[[#This Row],[PROGRAMA DESTINO]],Tabla49[ESPACIO ACADÉMICO DESTINO]&amp;Tabla49[PROGRAMA],Tabla49[CÓDIGO],"")</f>
        <v>16720</v>
      </c>
      <c r="H429" s="1" t="s">
        <v>408</v>
      </c>
      <c r="I429" s="14" cm="1">
        <f t="array" ref="I429">+_xlfn.XLOOKUP(Tabla9[[#This Row],[ESPACIO ACADÉMICO DESTINO]]&amp;Tabla9[[#This Row],[PROGRAMA DESTINO]],Tabla49[ESPACIO ACADÉMICO DESTINO]&amp;Tabla49[PROGRAMA],Tabla49[CRÉDITOS],"")</f>
        <v>2</v>
      </c>
      <c r="J429" s="14">
        <v>4.5</v>
      </c>
      <c r="K429" s="2" t="s">
        <v>116</v>
      </c>
      <c r="X429" s="52" t="s">
        <v>112</v>
      </c>
      <c r="Y429" s="8">
        <v>17883</v>
      </c>
      <c r="Z429" s="8" t="s">
        <v>680</v>
      </c>
      <c r="AA429" s="8">
        <v>3</v>
      </c>
    </row>
    <row r="430" spans="3:27" ht="30" x14ac:dyDescent="0.25">
      <c r="C430" s="1" t="str">
        <f>_xlfn.XLOOKUP(Tabla9[[#This Row],[PROGRAMA ORIGEN]],PROGRAMAS_N[PROGRAMAS ORIGEN],PROGRAMAS_N[NIVEL],"")</f>
        <v>TÉCNICO</v>
      </c>
      <c r="D430" s="16" t="s">
        <v>216</v>
      </c>
      <c r="E430" s="14">
        <v>270501041</v>
      </c>
      <c r="F430" s="10" t="s">
        <v>660</v>
      </c>
      <c r="G430" s="1" cm="1">
        <f t="array" ref="G430">+_xlfn.XLOOKUP(Tabla9[[#This Row],[ESPACIO ACADÉMICO DESTINO]]&amp;Tabla9[[#This Row],[PROGRAMA DESTINO]],Tabla49[ESPACIO ACADÉMICO DESTINO]&amp;Tabla49[PROGRAMA],Tabla49[CÓDIGO],"")</f>
        <v>73496</v>
      </c>
      <c r="H430" s="1" t="s">
        <v>495</v>
      </c>
      <c r="I430" s="14" cm="1">
        <f t="array" ref="I430">+_xlfn.XLOOKUP(Tabla9[[#This Row],[ESPACIO ACADÉMICO DESTINO]]&amp;Tabla9[[#This Row],[PROGRAMA DESTINO]],Tabla49[ESPACIO ACADÉMICO DESTINO]&amp;Tabla49[PROGRAMA],Tabla49[CRÉDITOS],"")</f>
        <v>3</v>
      </c>
      <c r="J430" s="14">
        <v>4.5</v>
      </c>
      <c r="K430" s="2" t="s">
        <v>116</v>
      </c>
      <c r="X430" s="52" t="s">
        <v>112</v>
      </c>
      <c r="Y430" s="8">
        <v>95110</v>
      </c>
      <c r="Z430" s="8" t="s">
        <v>160</v>
      </c>
      <c r="AA430" s="8">
        <v>2</v>
      </c>
    </row>
    <row r="431" spans="3:27" ht="30" x14ac:dyDescent="0.25">
      <c r="C431" s="1" t="str">
        <f>_xlfn.XLOOKUP(Tabla9[[#This Row],[PROGRAMA ORIGEN]],PROGRAMAS_N[PROGRAMAS ORIGEN],PROGRAMAS_N[NIVEL],"")</f>
        <v>TÉCNICO</v>
      </c>
      <c r="D431" s="16" t="s">
        <v>216</v>
      </c>
      <c r="E431" s="14">
        <v>270501042</v>
      </c>
      <c r="F431" s="10" t="s">
        <v>681</v>
      </c>
      <c r="G431" s="1" cm="1">
        <f t="array" ref="G431">+_xlfn.XLOOKUP(Tabla9[[#This Row],[ESPACIO ACADÉMICO DESTINO]]&amp;Tabla9[[#This Row],[PROGRAMA DESTINO]],Tabla49[ESPACIO ACADÉMICO DESTINO]&amp;Tabla49[PROGRAMA],Tabla49[CÓDIGO],"")</f>
        <v>73494</v>
      </c>
      <c r="H431" s="1" t="s">
        <v>486</v>
      </c>
      <c r="I431" s="14" cm="1">
        <f t="array" ref="I431">+_xlfn.XLOOKUP(Tabla9[[#This Row],[ESPACIO ACADÉMICO DESTINO]]&amp;Tabla9[[#This Row],[PROGRAMA DESTINO]],Tabla49[ESPACIO ACADÉMICO DESTINO]&amp;Tabla49[PROGRAMA],Tabla49[CRÉDITOS],"")</f>
        <v>3</v>
      </c>
      <c r="J431" s="14">
        <v>4.5</v>
      </c>
      <c r="K431" s="2" t="s">
        <v>116</v>
      </c>
      <c r="X431" s="52" t="s">
        <v>112</v>
      </c>
      <c r="Y431" s="8">
        <v>17822</v>
      </c>
      <c r="Z431" s="8" t="s">
        <v>682</v>
      </c>
      <c r="AA431" s="8">
        <v>2</v>
      </c>
    </row>
    <row r="432" spans="3:27" ht="30" x14ac:dyDescent="0.25">
      <c r="C432" s="1" t="str">
        <f>_xlfn.XLOOKUP(Tabla9[[#This Row],[PROGRAMA ORIGEN]],PROGRAMAS_N[PROGRAMAS ORIGEN],PROGRAMAS_N[NIVEL],"")</f>
        <v>TÉCNICO</v>
      </c>
      <c r="D432" s="16" t="s">
        <v>216</v>
      </c>
      <c r="E432" s="14">
        <v>270501054</v>
      </c>
      <c r="F432" s="10" t="s">
        <v>683</v>
      </c>
      <c r="G432" s="1" cm="1">
        <f t="array" ref="G432">+_xlfn.XLOOKUP(Tabla9[[#This Row],[ESPACIO ACADÉMICO DESTINO]]&amp;Tabla9[[#This Row],[PROGRAMA DESTINO]],Tabla49[ESPACIO ACADÉMICO DESTINO]&amp;Tabla49[PROGRAMA],Tabla49[CÓDIGO],"")</f>
        <v>73499</v>
      </c>
      <c r="H432" s="1" t="s">
        <v>505</v>
      </c>
      <c r="I432" s="14" cm="1">
        <f t="array" ref="I432">+_xlfn.XLOOKUP(Tabla9[[#This Row],[ESPACIO ACADÉMICO DESTINO]]&amp;Tabla9[[#This Row],[PROGRAMA DESTINO]],Tabla49[ESPACIO ACADÉMICO DESTINO]&amp;Tabla49[PROGRAMA],Tabla49[CRÉDITOS],"")</f>
        <v>3</v>
      </c>
      <c r="J432" s="14">
        <v>4.5</v>
      </c>
      <c r="K432" s="2" t="s">
        <v>116</v>
      </c>
      <c r="X432" s="52" t="s">
        <v>112</v>
      </c>
      <c r="Y432" s="8">
        <v>17878</v>
      </c>
      <c r="Z432" s="8" t="s">
        <v>684</v>
      </c>
      <c r="AA432" s="8">
        <v>4</v>
      </c>
    </row>
    <row r="433" spans="3:27" ht="30" x14ac:dyDescent="0.25">
      <c r="C433" s="1" t="str">
        <f>_xlfn.XLOOKUP(Tabla9[[#This Row],[PROGRAMA ORIGEN]],PROGRAMAS_N[PROGRAMAS ORIGEN],PROGRAMAS_N[NIVEL],"")</f>
        <v>TÉCNICO</v>
      </c>
      <c r="D433" s="16" t="s">
        <v>216</v>
      </c>
      <c r="E433" s="14">
        <v>270401064</v>
      </c>
      <c r="F433" s="10" t="s">
        <v>685</v>
      </c>
      <c r="G433" s="1" cm="1">
        <f t="array" ref="G433">+_xlfn.XLOOKUP(Tabla9[[#This Row],[ESPACIO ACADÉMICO DESTINO]]&amp;Tabla9[[#This Row],[PROGRAMA DESTINO]],Tabla49[ESPACIO ACADÉMICO DESTINO]&amp;Tabla49[PROGRAMA],Tabla49[CÓDIGO],"")</f>
        <v>16734</v>
      </c>
      <c r="H433" s="1" t="s">
        <v>467</v>
      </c>
      <c r="I433" s="14" cm="1">
        <f t="array" ref="I433">+_xlfn.XLOOKUP(Tabla9[[#This Row],[ESPACIO ACADÉMICO DESTINO]]&amp;Tabla9[[#This Row],[PROGRAMA DESTINO]],Tabla49[ESPACIO ACADÉMICO DESTINO]&amp;Tabla49[PROGRAMA],Tabla49[CRÉDITOS],"")</f>
        <v>3</v>
      </c>
      <c r="J433" s="14">
        <v>4.5</v>
      </c>
      <c r="K433" s="2" t="s">
        <v>116</v>
      </c>
      <c r="X433" s="52" t="s">
        <v>112</v>
      </c>
      <c r="Y433" s="8">
        <v>17897</v>
      </c>
      <c r="Z433" s="8" t="s">
        <v>686</v>
      </c>
      <c r="AA433" s="8">
        <v>3</v>
      </c>
    </row>
    <row r="434" spans="3:27" ht="30" x14ac:dyDescent="0.25">
      <c r="C434" s="1" t="str">
        <f>_xlfn.XLOOKUP(Tabla9[[#This Row],[PROGRAMA ORIGEN]],PROGRAMAS_N[PROGRAMAS ORIGEN],PROGRAMAS_N[NIVEL],"")</f>
        <v>TÉCNICO</v>
      </c>
      <c r="D434" s="16" t="s">
        <v>216</v>
      </c>
      <c r="E434" s="14">
        <v>270501025</v>
      </c>
      <c r="F434" s="10" t="s">
        <v>687</v>
      </c>
      <c r="G434" s="1" cm="1">
        <f t="array" ref="G434">+_xlfn.XLOOKUP(Tabla9[[#This Row],[ESPACIO ACADÉMICO DESTINO]]&amp;Tabla9[[#This Row],[PROGRAMA DESTINO]],Tabla49[ESPACIO ACADÉMICO DESTINO]&amp;Tabla49[PROGRAMA],Tabla49[CÓDIGO],"")</f>
        <v>73493</v>
      </c>
      <c r="H434" s="1" t="s">
        <v>482</v>
      </c>
      <c r="I434" s="14" cm="1">
        <f t="array" ref="I434">+_xlfn.XLOOKUP(Tabla9[[#This Row],[ESPACIO ACADÉMICO DESTINO]]&amp;Tabla9[[#This Row],[PROGRAMA DESTINO]],Tabla49[ESPACIO ACADÉMICO DESTINO]&amp;Tabla49[PROGRAMA],Tabla49[CRÉDITOS],"")</f>
        <v>2</v>
      </c>
      <c r="J434" s="14">
        <v>4.5</v>
      </c>
      <c r="K434" s="2" t="s">
        <v>116</v>
      </c>
      <c r="X434" s="52" t="s">
        <v>112</v>
      </c>
      <c r="Y434" s="8">
        <v>17861</v>
      </c>
      <c r="Z434" s="8" t="s">
        <v>688</v>
      </c>
      <c r="AA434" s="8">
        <v>3</v>
      </c>
    </row>
    <row r="435" spans="3:27" ht="30" x14ac:dyDescent="0.25">
      <c r="C435" s="1" t="str">
        <f>_xlfn.XLOOKUP(Tabla9[[#This Row],[PROGRAMA ORIGEN]],PROGRAMAS_N[PROGRAMAS ORIGEN],PROGRAMAS_N[NIVEL],"")</f>
        <v>TÉCNICO</v>
      </c>
      <c r="D435" s="16" t="s">
        <v>218</v>
      </c>
      <c r="E435" s="14">
        <v>270501040</v>
      </c>
      <c r="F435" s="10" t="s">
        <v>658</v>
      </c>
      <c r="G435" s="10" cm="1">
        <f t="array" ref="G435">+_xlfn.XLOOKUP(Tabla9[[#This Row],[ESPACIO ACADÉMICO DESTINO]]&amp;Tabla9[[#This Row],[PROGRAMA DESTINO]],Tabla49[ESPACIO ACADÉMICO DESTINO]&amp;Tabla49[PROGRAMA],Tabla49[CÓDIGO],"")</f>
        <v>16740</v>
      </c>
      <c r="H435" s="10" t="s">
        <v>483</v>
      </c>
      <c r="I435" s="14" cm="1">
        <f t="array" ref="I435">+_xlfn.XLOOKUP(Tabla9[[#This Row],[ESPACIO ACADÉMICO DESTINO]]&amp;Tabla9[[#This Row],[PROGRAMA DESTINO]],Tabla49[ESPACIO ACADÉMICO DESTINO]&amp;Tabla49[PROGRAMA],Tabla49[CRÉDITOS],"")</f>
        <v>2</v>
      </c>
      <c r="J435" s="14">
        <v>4.5</v>
      </c>
      <c r="K435" s="2" t="s">
        <v>116</v>
      </c>
      <c r="X435" s="52" t="s">
        <v>112</v>
      </c>
      <c r="Y435" s="8">
        <v>17007</v>
      </c>
      <c r="Z435" s="8" t="s">
        <v>108</v>
      </c>
      <c r="AA435" s="8">
        <v>2</v>
      </c>
    </row>
    <row r="436" spans="3:27" ht="30" x14ac:dyDescent="0.25">
      <c r="C436" s="1" t="str">
        <f>_xlfn.XLOOKUP(Tabla9[[#This Row],[PROGRAMA ORIGEN]],PROGRAMAS_N[PROGRAMAS ORIGEN],PROGRAMAS_N[NIVEL],"")</f>
        <v>TÉCNICO</v>
      </c>
      <c r="D436" s="16" t="s">
        <v>218</v>
      </c>
      <c r="E436" s="14">
        <v>270501041</v>
      </c>
      <c r="F436" s="10" t="s">
        <v>658</v>
      </c>
      <c r="G436" s="10" cm="1">
        <f t="array" ref="G436">+_xlfn.XLOOKUP(Tabla9[[#This Row],[ESPACIO ACADÉMICO DESTINO]]&amp;Tabla9[[#This Row],[PROGRAMA DESTINO]],Tabla49[ESPACIO ACADÉMICO DESTINO]&amp;Tabla49[PROGRAMA],Tabla49[CÓDIGO],"")</f>
        <v>16340</v>
      </c>
      <c r="H436" s="10" t="s">
        <v>533</v>
      </c>
      <c r="I436" s="14" cm="1">
        <f t="array" ref="I436">+_xlfn.XLOOKUP(Tabla9[[#This Row],[ESPACIO ACADÉMICO DESTINO]]&amp;Tabla9[[#This Row],[PROGRAMA DESTINO]],Tabla49[ESPACIO ACADÉMICO DESTINO]&amp;Tabla49[PROGRAMA],Tabla49[CRÉDITOS],"")</f>
        <v>3</v>
      </c>
      <c r="J436" s="14">
        <v>4.5</v>
      </c>
      <c r="K436" s="2" t="s">
        <v>116</v>
      </c>
      <c r="X436" s="52" t="s">
        <v>112</v>
      </c>
      <c r="Y436" s="8">
        <v>95111</v>
      </c>
      <c r="Z436" s="8" t="s">
        <v>184</v>
      </c>
      <c r="AA436" s="8">
        <v>2</v>
      </c>
    </row>
    <row r="437" spans="3:27" ht="30" x14ac:dyDescent="0.25">
      <c r="C437" s="1" t="str">
        <f>_xlfn.XLOOKUP(Tabla9[[#This Row],[PROGRAMA ORIGEN]],PROGRAMAS_N[PROGRAMAS ORIGEN],PROGRAMAS_N[NIVEL],"")</f>
        <v>TÉCNICO</v>
      </c>
      <c r="D437" s="16" t="s">
        <v>218</v>
      </c>
      <c r="E437" s="14">
        <v>270501060</v>
      </c>
      <c r="F437" s="10" t="s">
        <v>678</v>
      </c>
      <c r="G437" s="1" cm="1">
        <f t="array" ref="G437">+_xlfn.XLOOKUP(Tabla9[[#This Row],[ESPACIO ACADÉMICO DESTINO]]&amp;Tabla9[[#This Row],[PROGRAMA DESTINO]],Tabla49[ESPACIO ACADÉMICO DESTINO]&amp;Tabla49[PROGRAMA],Tabla49[CÓDIGO],"")</f>
        <v>16539</v>
      </c>
      <c r="H437" s="1" t="s">
        <v>679</v>
      </c>
      <c r="I437" s="14" cm="1">
        <f t="array" ref="I437">+_xlfn.XLOOKUP(Tabla9[[#This Row],[ESPACIO ACADÉMICO DESTINO]]&amp;Tabla9[[#This Row],[PROGRAMA DESTINO]],Tabla49[ESPACIO ACADÉMICO DESTINO]&amp;Tabla49[PROGRAMA],Tabla49[CRÉDITOS],"")</f>
        <v>3</v>
      </c>
      <c r="J437" s="14">
        <v>4.5</v>
      </c>
      <c r="K437" s="2" t="s">
        <v>116</v>
      </c>
      <c r="X437" s="52" t="s">
        <v>112</v>
      </c>
      <c r="Y437" s="8"/>
      <c r="Z437" s="8" t="s">
        <v>471</v>
      </c>
      <c r="AA437" s="8">
        <v>3</v>
      </c>
    </row>
    <row r="438" spans="3:27" ht="30" x14ac:dyDescent="0.25">
      <c r="C438" s="1" t="str">
        <f>_xlfn.XLOOKUP(Tabla9[[#This Row],[PROGRAMA ORIGEN]],PROGRAMAS_N[PROGRAMAS ORIGEN],PROGRAMAS_N[NIVEL],"")</f>
        <v>TÉCNICO</v>
      </c>
      <c r="D438" s="16" t="s">
        <v>218</v>
      </c>
      <c r="E438" s="14">
        <v>270501061</v>
      </c>
      <c r="F438" s="10" t="s">
        <v>678</v>
      </c>
      <c r="G438" s="1" cm="1">
        <f t="array" ref="G438">+_xlfn.XLOOKUP(Tabla9[[#This Row],[ESPACIO ACADÉMICO DESTINO]]&amp;Tabla9[[#This Row],[PROGRAMA DESTINO]],Tabla49[ESPACIO ACADÉMICO DESTINO]&amp;Tabla49[PROGRAMA],Tabla49[CÓDIGO],"")</f>
        <v>73507</v>
      </c>
      <c r="H438" s="1" t="s">
        <v>532</v>
      </c>
      <c r="I438" s="14" cm="1">
        <f t="array" ref="I438">+_xlfn.XLOOKUP(Tabla9[[#This Row],[ESPACIO ACADÉMICO DESTINO]]&amp;Tabla9[[#This Row],[PROGRAMA DESTINO]],Tabla49[ESPACIO ACADÉMICO DESTINO]&amp;Tabla49[PROGRAMA],Tabla49[CRÉDITOS],"")</f>
        <v>2</v>
      </c>
      <c r="J438" s="14">
        <v>4.5</v>
      </c>
      <c r="K438" s="2" t="s">
        <v>116</v>
      </c>
      <c r="X438" s="52" t="s">
        <v>112</v>
      </c>
      <c r="Y438" s="8">
        <v>17879</v>
      </c>
      <c r="Z438" s="8" t="s">
        <v>689</v>
      </c>
      <c r="AA438" s="8">
        <v>4</v>
      </c>
    </row>
    <row r="439" spans="3:27" ht="30" x14ac:dyDescent="0.25">
      <c r="C439" s="1" t="str">
        <f>_xlfn.XLOOKUP(Tabla9[[#This Row],[PROGRAMA ORIGEN]],PROGRAMAS_N[PROGRAMAS ORIGEN],PROGRAMAS_N[NIVEL],"")</f>
        <v>TÉCNICO</v>
      </c>
      <c r="D439" s="16" t="s">
        <v>218</v>
      </c>
      <c r="E439" s="14">
        <v>270501041</v>
      </c>
      <c r="F439" s="10" t="s">
        <v>660</v>
      </c>
      <c r="G439" s="1" cm="1">
        <f t="array" ref="G439">+_xlfn.XLOOKUP(Tabla9[[#This Row],[ESPACIO ACADÉMICO DESTINO]]&amp;Tabla9[[#This Row],[PROGRAMA DESTINO]],Tabla49[ESPACIO ACADÉMICO DESTINO]&amp;Tabla49[PROGRAMA],Tabla49[CÓDIGO],"")</f>
        <v>73496</v>
      </c>
      <c r="H439" s="1" t="s">
        <v>495</v>
      </c>
      <c r="I439" s="14" cm="1">
        <f t="array" ref="I439">+_xlfn.XLOOKUP(Tabla9[[#This Row],[ESPACIO ACADÉMICO DESTINO]]&amp;Tabla9[[#This Row],[PROGRAMA DESTINO]],Tabla49[ESPACIO ACADÉMICO DESTINO]&amp;Tabla49[PROGRAMA],Tabla49[CRÉDITOS],"")</f>
        <v>3</v>
      </c>
      <c r="J439" s="14">
        <v>4.5</v>
      </c>
      <c r="K439" s="2" t="s">
        <v>116</v>
      </c>
      <c r="X439" s="52" t="s">
        <v>112</v>
      </c>
      <c r="Y439" s="8">
        <v>17898</v>
      </c>
      <c r="Z439" s="8" t="s">
        <v>690</v>
      </c>
      <c r="AA439" s="8">
        <v>3</v>
      </c>
    </row>
    <row r="440" spans="3:27" ht="30" x14ac:dyDescent="0.25">
      <c r="C440" s="1" t="str">
        <f>_xlfn.XLOOKUP(Tabla9[[#This Row],[PROGRAMA ORIGEN]],PROGRAMAS_N[PROGRAMAS ORIGEN],PROGRAMAS_N[NIVEL],"")</f>
        <v>TÉCNICO</v>
      </c>
      <c r="D440" s="16" t="s">
        <v>218</v>
      </c>
      <c r="E440" s="14">
        <v>270501042</v>
      </c>
      <c r="F440" s="10" t="s">
        <v>660</v>
      </c>
      <c r="G440" s="1" cm="1">
        <f t="array" ref="G440">+_xlfn.XLOOKUP(Tabla9[[#This Row],[ESPACIO ACADÉMICO DESTINO]]&amp;Tabla9[[#This Row],[PROGRAMA DESTINO]],Tabla49[ESPACIO ACADÉMICO DESTINO]&amp;Tabla49[PROGRAMA],Tabla49[CÓDIGO],"")</f>
        <v>73506</v>
      </c>
      <c r="H440" s="1" t="s">
        <v>531</v>
      </c>
      <c r="I440" s="14" cm="1">
        <f t="array" ref="I440">+_xlfn.XLOOKUP(Tabla9[[#This Row],[ESPACIO ACADÉMICO DESTINO]]&amp;Tabla9[[#This Row],[PROGRAMA DESTINO]],Tabla49[ESPACIO ACADÉMICO DESTINO]&amp;Tabla49[PROGRAMA],Tabla49[CRÉDITOS],"")</f>
        <v>2</v>
      </c>
      <c r="J440" s="14">
        <v>4.5</v>
      </c>
      <c r="K440" s="2" t="s">
        <v>116</v>
      </c>
      <c r="X440" s="52" t="s">
        <v>112</v>
      </c>
      <c r="Y440" s="8">
        <v>17862</v>
      </c>
      <c r="Z440" s="8" t="s">
        <v>691</v>
      </c>
      <c r="AA440" s="8">
        <v>3</v>
      </c>
    </row>
    <row r="441" spans="3:27" ht="30" x14ac:dyDescent="0.25">
      <c r="C441" s="1" t="str">
        <f>_xlfn.XLOOKUP(Tabla9[[#This Row],[PROGRAMA ORIGEN]],PROGRAMAS_N[PROGRAMAS ORIGEN],PROGRAMAS_N[NIVEL],"")</f>
        <v>TÉCNICO</v>
      </c>
      <c r="D441" s="16" t="s">
        <v>218</v>
      </c>
      <c r="E441" s="14">
        <v>270501042</v>
      </c>
      <c r="F441" s="10" t="s">
        <v>623</v>
      </c>
      <c r="G441" s="1" cm="1">
        <f t="array" ref="G441">+_xlfn.XLOOKUP(Tabla9[[#This Row],[ESPACIO ACADÉMICO DESTINO]]&amp;Tabla9[[#This Row],[PROGRAMA DESTINO]],Tabla49[ESPACIO ACADÉMICO DESTINO]&amp;Tabla49[PROGRAMA],Tabla49[CÓDIGO],"")</f>
        <v>73494</v>
      </c>
      <c r="H441" s="1" t="s">
        <v>486</v>
      </c>
      <c r="I441" s="14" cm="1">
        <f t="array" ref="I441">+_xlfn.XLOOKUP(Tabla9[[#This Row],[ESPACIO ACADÉMICO DESTINO]]&amp;Tabla9[[#This Row],[PROGRAMA DESTINO]],Tabla49[ESPACIO ACADÉMICO DESTINO]&amp;Tabla49[PROGRAMA],Tabla49[CRÉDITOS],"")</f>
        <v>3</v>
      </c>
      <c r="J441" s="14">
        <v>4.5</v>
      </c>
      <c r="K441" s="2" t="s">
        <v>116</v>
      </c>
      <c r="X441" s="52" t="s">
        <v>112</v>
      </c>
      <c r="Y441" s="8">
        <v>17009</v>
      </c>
      <c r="Z441" s="8" t="s">
        <v>139</v>
      </c>
      <c r="AA441" s="8">
        <v>2</v>
      </c>
    </row>
    <row r="442" spans="3:27" ht="30" x14ac:dyDescent="0.25">
      <c r="C442" s="1" t="str">
        <f>_xlfn.XLOOKUP(Tabla9[[#This Row],[PROGRAMA ORIGEN]],PROGRAMAS_N[PROGRAMAS ORIGEN],PROGRAMAS_N[NIVEL],"")</f>
        <v>TÉCNICO</v>
      </c>
      <c r="D442" s="16" t="s">
        <v>218</v>
      </c>
      <c r="E442" s="14">
        <v>270501043</v>
      </c>
      <c r="F442" s="10" t="s">
        <v>623</v>
      </c>
      <c r="G442" s="1" cm="1">
        <f t="array" ref="G442">+_xlfn.XLOOKUP(Tabla9[[#This Row],[ESPACIO ACADÉMICO DESTINO]]&amp;Tabla9[[#This Row],[PROGRAMA DESTINO]],Tabla49[ESPACIO ACADÉMICO DESTINO]&amp;Tabla49[PROGRAMA],Tabla49[CÓDIGO],"")</f>
        <v>16540</v>
      </c>
      <c r="H442" s="1" t="s">
        <v>692</v>
      </c>
      <c r="I442" s="14" cm="1">
        <f t="array" ref="I442">+_xlfn.XLOOKUP(Tabla9[[#This Row],[ESPACIO ACADÉMICO DESTINO]]&amp;Tabla9[[#This Row],[PROGRAMA DESTINO]],Tabla49[ESPACIO ACADÉMICO DESTINO]&amp;Tabla49[PROGRAMA],Tabla49[CRÉDITOS],"")</f>
        <v>3</v>
      </c>
      <c r="J442" s="14">
        <v>4.5</v>
      </c>
      <c r="K442" s="2" t="s">
        <v>116</v>
      </c>
      <c r="X442" s="52" t="s">
        <v>112</v>
      </c>
      <c r="Y442" s="8">
        <v>17868</v>
      </c>
      <c r="Z442" s="8" t="s">
        <v>693</v>
      </c>
      <c r="AA442" s="8">
        <v>2</v>
      </c>
    </row>
    <row r="443" spans="3:27" ht="30" x14ac:dyDescent="0.25">
      <c r="C443" s="1" t="str">
        <f>_xlfn.XLOOKUP(Tabla9[[#This Row],[PROGRAMA ORIGEN]],PROGRAMAS_N[PROGRAMAS ORIGEN],PROGRAMAS_N[NIVEL],"")</f>
        <v>TÉCNICO</v>
      </c>
      <c r="D443" s="16" t="s">
        <v>218</v>
      </c>
      <c r="E443" s="14">
        <v>270501054</v>
      </c>
      <c r="F443" s="10" t="s">
        <v>694</v>
      </c>
      <c r="G443" s="1" cm="1">
        <f t="array" ref="G443">+_xlfn.XLOOKUP(Tabla9[[#This Row],[ESPACIO ACADÉMICO DESTINO]]&amp;Tabla9[[#This Row],[PROGRAMA DESTINO]],Tabla49[ESPACIO ACADÉMICO DESTINO]&amp;Tabla49[PROGRAMA],Tabla49[CÓDIGO],"")</f>
        <v>73499</v>
      </c>
      <c r="H443" s="1" t="s">
        <v>505</v>
      </c>
      <c r="I443" s="14" cm="1">
        <f t="array" ref="I443">+_xlfn.XLOOKUP(Tabla9[[#This Row],[ESPACIO ACADÉMICO DESTINO]]&amp;Tabla9[[#This Row],[PROGRAMA DESTINO]],Tabla49[ESPACIO ACADÉMICO DESTINO]&amp;Tabla49[PROGRAMA],Tabla49[CRÉDITOS],"")</f>
        <v>3</v>
      </c>
      <c r="J443" s="14">
        <v>4.5</v>
      </c>
      <c r="K443" s="2" t="s">
        <v>116</v>
      </c>
      <c r="X443" s="52" t="s">
        <v>112</v>
      </c>
      <c r="Y443" s="8"/>
      <c r="Z443" s="8" t="s">
        <v>479</v>
      </c>
      <c r="AA443" s="8">
        <v>3</v>
      </c>
    </row>
    <row r="444" spans="3:27" ht="30" x14ac:dyDescent="0.25">
      <c r="C444" s="1" t="str">
        <f>_xlfn.XLOOKUP(Tabla9[[#This Row],[PROGRAMA ORIGEN]],PROGRAMAS_N[PROGRAMAS ORIGEN],PROGRAMAS_N[NIVEL],"")</f>
        <v>TÉCNICO</v>
      </c>
      <c r="D444" s="16" t="s">
        <v>221</v>
      </c>
      <c r="E444" s="14">
        <v>270602005</v>
      </c>
      <c r="F444" s="10" t="s">
        <v>695</v>
      </c>
      <c r="G444" s="10" cm="1">
        <f t="array" ref="G444">+_xlfn.XLOOKUP(Tabla9[[#This Row],[ESPACIO ACADÉMICO DESTINO]]&amp;Tabla9[[#This Row],[PROGRAMA DESTINO]],Tabla49[ESPACIO ACADÉMICO DESTINO]&amp;Tabla49[PROGRAMA],Tabla49[CÓDIGO],"")</f>
        <v>73492</v>
      </c>
      <c r="H444" s="10" t="s">
        <v>481</v>
      </c>
      <c r="I444" s="14" cm="1">
        <f t="array" ref="I444">+_xlfn.XLOOKUP(Tabla9[[#This Row],[ESPACIO ACADÉMICO DESTINO]]&amp;Tabla9[[#This Row],[PROGRAMA DESTINO]],Tabla49[ESPACIO ACADÉMICO DESTINO]&amp;Tabla49[PROGRAMA],Tabla49[CRÉDITOS],"")</f>
        <v>2</v>
      </c>
      <c r="J444" s="14">
        <v>4.5</v>
      </c>
      <c r="K444" s="2" t="s">
        <v>116</v>
      </c>
      <c r="X444" s="52" t="s">
        <v>112</v>
      </c>
      <c r="Y444" s="8">
        <v>17880</v>
      </c>
      <c r="Z444" s="8" t="s">
        <v>696</v>
      </c>
      <c r="AA444" s="8">
        <v>4</v>
      </c>
    </row>
    <row r="445" spans="3:27" ht="30" x14ac:dyDescent="0.25">
      <c r="C445" s="1" t="str">
        <f>_xlfn.XLOOKUP(Tabla9[[#This Row],[PROGRAMA ORIGEN]],PROGRAMAS_N[PROGRAMAS ORIGEN],PROGRAMAS_N[NIVEL],"")</f>
        <v>TÉCNICO</v>
      </c>
      <c r="D445" s="16" t="s">
        <v>221</v>
      </c>
      <c r="E445" s="14">
        <v>270602006</v>
      </c>
      <c r="F445" s="10" t="s">
        <v>695</v>
      </c>
      <c r="G445" s="10" cm="1">
        <f t="array" ref="G445">+_xlfn.XLOOKUP(Tabla9[[#This Row],[ESPACIO ACADÉMICO DESTINO]]&amp;Tabla9[[#This Row],[PROGRAMA DESTINO]],Tabla49[ESPACIO ACADÉMICO DESTINO]&amp;Tabla49[PROGRAMA],Tabla49[CÓDIGO],"")</f>
        <v>16539</v>
      </c>
      <c r="H445" s="10" t="s">
        <v>627</v>
      </c>
      <c r="I445" s="14" cm="1">
        <f t="array" ref="I445">+_xlfn.XLOOKUP(Tabla9[[#This Row],[ESPACIO ACADÉMICO DESTINO]]&amp;Tabla9[[#This Row],[PROGRAMA DESTINO]],Tabla49[ESPACIO ACADÉMICO DESTINO]&amp;Tabla49[PROGRAMA],Tabla49[CRÉDITOS],"")</f>
        <v>3</v>
      </c>
      <c r="J445" s="14">
        <v>4.5</v>
      </c>
      <c r="K445" s="2" t="s">
        <v>116</v>
      </c>
      <c r="X445" s="52" t="s">
        <v>112</v>
      </c>
      <c r="Y445" s="8">
        <v>17893</v>
      </c>
      <c r="Z445" s="8" t="s">
        <v>697</v>
      </c>
      <c r="AA445" s="8">
        <v>2</v>
      </c>
    </row>
    <row r="446" spans="3:27" ht="30" x14ac:dyDescent="0.25">
      <c r="C446" s="1" t="str">
        <f>_xlfn.XLOOKUP(Tabla9[[#This Row],[PROGRAMA ORIGEN]],PROGRAMAS_N[PROGRAMAS ORIGEN],PROGRAMAS_N[NIVEL],"")</f>
        <v>TÉCNICO</v>
      </c>
      <c r="D446" s="16" t="s">
        <v>221</v>
      </c>
      <c r="E446" s="14">
        <v>220201003</v>
      </c>
      <c r="F446" s="10" t="s">
        <v>698</v>
      </c>
      <c r="G446" s="1" cm="1">
        <f t="array" ref="G446">+_xlfn.XLOOKUP(Tabla9[[#This Row],[ESPACIO ACADÉMICO DESTINO]]&amp;Tabla9[[#This Row],[PROGRAMA DESTINO]],Tabla49[ESPACIO ACADÉMICO DESTINO]&amp;Tabla49[PROGRAMA],Tabla49[CÓDIGO],"")</f>
        <v>16540</v>
      </c>
      <c r="H446" s="1" t="s">
        <v>692</v>
      </c>
      <c r="I446" s="14" cm="1">
        <f t="array" ref="I446">+_xlfn.XLOOKUP(Tabla9[[#This Row],[ESPACIO ACADÉMICO DESTINO]]&amp;Tabla9[[#This Row],[PROGRAMA DESTINO]],Tabla49[ESPACIO ACADÉMICO DESTINO]&amp;Tabla49[PROGRAMA],Tabla49[CRÉDITOS],"")</f>
        <v>3</v>
      </c>
      <c r="J446" s="14">
        <v>4.5</v>
      </c>
      <c r="K446" s="2" t="s">
        <v>116</v>
      </c>
      <c r="X446" s="52" t="s">
        <v>112</v>
      </c>
      <c r="Y446" s="8">
        <v>17902</v>
      </c>
      <c r="Z446" s="8" t="s">
        <v>699</v>
      </c>
      <c r="AA446" s="8">
        <v>3</v>
      </c>
    </row>
    <row r="447" spans="3:27" ht="30" x14ac:dyDescent="0.25">
      <c r="C447" s="1" t="str">
        <f>_xlfn.XLOOKUP(Tabla9[[#This Row],[PROGRAMA ORIGEN]],PROGRAMAS_N[PROGRAMAS ORIGEN],PROGRAMAS_N[NIVEL],"")</f>
        <v>TÉCNICO</v>
      </c>
      <c r="D447" s="16" t="s">
        <v>221</v>
      </c>
      <c r="E447" s="14">
        <v>270601002</v>
      </c>
      <c r="F447" s="10" t="s">
        <v>626</v>
      </c>
      <c r="G447" s="1" cm="1">
        <f t="array" ref="G447">+_xlfn.XLOOKUP(Tabla9[[#This Row],[ESPACIO ACADÉMICO DESTINO]]&amp;Tabla9[[#This Row],[PROGRAMA DESTINO]],Tabla49[ESPACIO ACADÉMICO DESTINO]&amp;Tabla49[PROGRAMA],Tabla49[CÓDIGO],"")</f>
        <v>73500</v>
      </c>
      <c r="H447" s="1" t="s">
        <v>700</v>
      </c>
      <c r="I447" s="14" cm="1">
        <f t="array" ref="I447">+_xlfn.XLOOKUP(Tabla9[[#This Row],[ESPACIO ACADÉMICO DESTINO]]&amp;Tabla9[[#This Row],[PROGRAMA DESTINO]],Tabla49[ESPACIO ACADÉMICO DESTINO]&amp;Tabla49[PROGRAMA],Tabla49[CRÉDITOS],"")</f>
        <v>3</v>
      </c>
      <c r="J447" s="14">
        <v>4.5</v>
      </c>
      <c r="K447" s="2" t="s">
        <v>116</v>
      </c>
      <c r="X447" s="52" t="s">
        <v>112</v>
      </c>
      <c r="Y447" s="8">
        <v>17604</v>
      </c>
      <c r="Z447" s="8" t="s">
        <v>163</v>
      </c>
      <c r="AA447" s="8">
        <v>2</v>
      </c>
    </row>
    <row r="448" spans="3:27" ht="30" x14ac:dyDescent="0.25">
      <c r="C448" s="1" t="str">
        <f>_xlfn.XLOOKUP(Tabla9[[#This Row],[PROGRAMA ORIGEN]],PROGRAMAS_N[PROGRAMAS ORIGEN],PROGRAMAS_N[NIVEL],"")</f>
        <v>TÉCNICO</v>
      </c>
      <c r="D448" s="16" t="s">
        <v>221</v>
      </c>
      <c r="E448" s="14">
        <v>270601003</v>
      </c>
      <c r="F448" s="10" t="s">
        <v>701</v>
      </c>
      <c r="G448" s="1" cm="1">
        <f t="array" ref="G448">+_xlfn.XLOOKUP(Tabla9[[#This Row],[ESPACIO ACADÉMICO DESTINO]]&amp;Tabla9[[#This Row],[PROGRAMA DESTINO]],Tabla49[ESPACIO ACADÉMICO DESTINO]&amp;Tabla49[PROGRAMA],Tabla49[CÓDIGO],"")</f>
        <v>16730</v>
      </c>
      <c r="H448" s="1" t="s">
        <v>462</v>
      </c>
      <c r="I448" s="14" cm="1">
        <f t="array" ref="I448">+_xlfn.XLOOKUP(Tabla9[[#This Row],[ESPACIO ACADÉMICO DESTINO]]&amp;Tabla9[[#This Row],[PROGRAMA DESTINO]],Tabla49[ESPACIO ACADÉMICO DESTINO]&amp;Tabla49[PROGRAMA],Tabla49[CRÉDITOS],"")</f>
        <v>2</v>
      </c>
      <c r="J448" s="14">
        <v>4.5</v>
      </c>
      <c r="K448" s="2" t="s">
        <v>116</v>
      </c>
      <c r="X448" s="52" t="s">
        <v>112</v>
      </c>
      <c r="Y448" s="8">
        <v>95113</v>
      </c>
      <c r="Z448" s="8" t="s">
        <v>214</v>
      </c>
      <c r="AA448" s="8">
        <v>2</v>
      </c>
    </row>
    <row r="449" spans="3:27" ht="30" x14ac:dyDescent="0.25">
      <c r="C449" s="1" t="str">
        <f>_xlfn.XLOOKUP(Tabla9[[#This Row],[PROGRAMA ORIGEN]],PROGRAMAS_N[PROGRAMAS ORIGEN],PROGRAMAS_N[NIVEL],"")</f>
        <v>TÉCNICO</v>
      </c>
      <c r="D449" s="16" t="s">
        <v>221</v>
      </c>
      <c r="E449" s="14">
        <v>270601004</v>
      </c>
      <c r="F449" s="10" t="s">
        <v>701</v>
      </c>
      <c r="G449" s="1" cm="1">
        <f t="array" ref="G449">+_xlfn.XLOOKUP(Tabla9[[#This Row],[ESPACIO ACADÉMICO DESTINO]]&amp;Tabla9[[#This Row],[PROGRAMA DESTINO]],Tabla49[ESPACIO ACADÉMICO DESTINO]&amp;Tabla49[PROGRAMA],Tabla49[CÓDIGO],"")</f>
        <v>16540</v>
      </c>
      <c r="H449" s="1" t="s">
        <v>631</v>
      </c>
      <c r="I449" s="14" cm="1">
        <f t="array" ref="I449">+_xlfn.XLOOKUP(Tabla9[[#This Row],[ESPACIO ACADÉMICO DESTINO]]&amp;Tabla9[[#This Row],[PROGRAMA DESTINO]],Tabla49[ESPACIO ACADÉMICO DESTINO]&amp;Tabla49[PROGRAMA],Tabla49[CRÉDITOS],"")</f>
        <v>3</v>
      </c>
      <c r="J449" s="14">
        <v>4.5</v>
      </c>
      <c r="K449" s="2" t="s">
        <v>116</v>
      </c>
      <c r="X449" s="52" t="s">
        <v>112</v>
      </c>
      <c r="Y449" s="8">
        <v>17008</v>
      </c>
      <c r="Z449" s="8" t="s">
        <v>702</v>
      </c>
      <c r="AA449" s="8">
        <v>2</v>
      </c>
    </row>
    <row r="450" spans="3:27" ht="30" x14ac:dyDescent="0.25">
      <c r="C450" s="1" t="str">
        <f>_xlfn.XLOOKUP(Tabla9[[#This Row],[PROGRAMA ORIGEN]],PROGRAMAS_N[PROGRAMAS ORIGEN],PROGRAMAS_N[NIVEL],"")</f>
        <v>TÉCNICO</v>
      </c>
      <c r="D450" s="16" t="s">
        <v>221</v>
      </c>
      <c r="E450" s="14">
        <v>260101021</v>
      </c>
      <c r="F450" s="10" t="s">
        <v>703</v>
      </c>
      <c r="G450" s="1" cm="1">
        <f t="array" ref="G450">+_xlfn.XLOOKUP(Tabla9[[#This Row],[ESPACIO ACADÉMICO DESTINO]]&amp;Tabla9[[#This Row],[PROGRAMA DESTINO]],Tabla49[ESPACIO ACADÉMICO DESTINO]&amp;Tabla49[PROGRAMA],Tabla49[CÓDIGO],"")</f>
        <v>16720</v>
      </c>
      <c r="H450" s="1" t="s">
        <v>408</v>
      </c>
      <c r="I450" s="14" cm="1">
        <f t="array" ref="I450">+_xlfn.XLOOKUP(Tabla9[[#This Row],[ESPACIO ACADÉMICO DESTINO]]&amp;Tabla9[[#This Row],[PROGRAMA DESTINO]],Tabla49[ESPACIO ACADÉMICO DESTINO]&amp;Tabla49[PROGRAMA],Tabla49[CRÉDITOS],"")</f>
        <v>2</v>
      </c>
      <c r="J450" s="14">
        <v>4.5</v>
      </c>
      <c r="K450" s="2" t="s">
        <v>116</v>
      </c>
      <c r="X450" s="52" t="s">
        <v>112</v>
      </c>
      <c r="Y450" s="8">
        <v>17888</v>
      </c>
      <c r="Z450" s="8" t="s">
        <v>704</v>
      </c>
      <c r="AA450" s="8">
        <v>4</v>
      </c>
    </row>
    <row r="451" spans="3:27" ht="30" x14ac:dyDescent="0.25">
      <c r="C451" s="1" t="str">
        <f>_xlfn.XLOOKUP(Tabla9[[#This Row],[PROGRAMA ORIGEN]],PROGRAMAS_N[PROGRAMAS ORIGEN],PROGRAMAS_N[NIVEL],"")</f>
        <v>TÉCNICO</v>
      </c>
      <c r="D451" s="16" t="s">
        <v>221</v>
      </c>
      <c r="E451" s="14">
        <v>260101022</v>
      </c>
      <c r="F451" s="10" t="s">
        <v>703</v>
      </c>
      <c r="G451" s="1" cm="1">
        <f t="array" ref="G451">+_xlfn.XLOOKUP(Tabla9[[#This Row],[ESPACIO ACADÉMICO DESTINO]]&amp;Tabla9[[#This Row],[PROGRAMA DESTINO]],Tabla49[ESPACIO ACADÉMICO DESTINO]&amp;Tabla49[PROGRAMA],Tabla49[CÓDIGO],"")</f>
        <v>16719</v>
      </c>
      <c r="H451" s="1" t="s">
        <v>391</v>
      </c>
      <c r="I451" s="14" cm="1">
        <f t="array" ref="I451">+_xlfn.XLOOKUP(Tabla9[[#This Row],[ESPACIO ACADÉMICO DESTINO]]&amp;Tabla9[[#This Row],[PROGRAMA DESTINO]],Tabla49[ESPACIO ACADÉMICO DESTINO]&amp;Tabla49[PROGRAMA],Tabla49[CRÉDITOS],"")</f>
        <v>2</v>
      </c>
      <c r="J451" s="14">
        <v>4.5</v>
      </c>
      <c r="K451" s="2" t="s">
        <v>116</v>
      </c>
      <c r="X451" s="52" t="s">
        <v>112</v>
      </c>
      <c r="Y451" s="8">
        <v>17906</v>
      </c>
      <c r="Z451" s="8" t="s">
        <v>705</v>
      </c>
      <c r="AA451" s="8">
        <v>3</v>
      </c>
    </row>
    <row r="452" spans="3:27" ht="30" x14ac:dyDescent="0.25">
      <c r="C452" s="1" t="str">
        <f>_xlfn.XLOOKUP(Tabla9[[#This Row],[PROGRAMA ORIGEN]],PROGRAMAS_N[PROGRAMAS ORIGEN],PROGRAMAS_N[NIVEL],"")</f>
        <v>TÉCNICO</v>
      </c>
      <c r="D452" s="16" t="s">
        <v>221</v>
      </c>
      <c r="E452" s="14">
        <v>270601005</v>
      </c>
      <c r="F452" s="10" t="s">
        <v>706</v>
      </c>
      <c r="G452" s="1" cm="1">
        <f t="array" ref="G452">+_xlfn.XLOOKUP(Tabla9[[#This Row],[ESPACIO ACADÉMICO DESTINO]]&amp;Tabla9[[#This Row],[PROGRAMA DESTINO]],Tabla49[ESPACIO ACADÉMICO DESTINO]&amp;Tabla49[PROGRAMA],Tabla49[CÓDIGO],"")</f>
        <v>73496</v>
      </c>
      <c r="H452" s="1" t="s">
        <v>495</v>
      </c>
      <c r="I452" s="14" cm="1">
        <f t="array" ref="I452">+_xlfn.XLOOKUP(Tabla9[[#This Row],[ESPACIO ACADÉMICO DESTINO]]&amp;Tabla9[[#This Row],[PROGRAMA DESTINO]],Tabla49[ESPACIO ACADÉMICO DESTINO]&amp;Tabla49[PROGRAMA],Tabla49[CRÉDITOS],"")</f>
        <v>3</v>
      </c>
      <c r="J452" s="14">
        <v>4.5</v>
      </c>
      <c r="K452" s="2" t="s">
        <v>116</v>
      </c>
      <c r="X452" s="52" t="s">
        <v>112</v>
      </c>
      <c r="Y452" s="8">
        <v>17797</v>
      </c>
      <c r="Z452" s="8" t="s">
        <v>201</v>
      </c>
      <c r="AA452" s="8">
        <v>2</v>
      </c>
    </row>
    <row r="453" spans="3:27" ht="30" x14ac:dyDescent="0.25">
      <c r="C453" s="1" t="str">
        <f>_xlfn.XLOOKUP(Tabla9[[#This Row],[PROGRAMA ORIGEN]],PROGRAMAS_N[PROGRAMAS ORIGEN],PROGRAMAS_N[NIVEL],"")</f>
        <v>TÉCNICO</v>
      </c>
      <c r="D453" s="16" t="s">
        <v>221</v>
      </c>
      <c r="E453" s="14">
        <v>270601006</v>
      </c>
      <c r="F453" s="10" t="s">
        <v>706</v>
      </c>
      <c r="G453" s="1" cm="1">
        <f t="array" ref="G453">+_xlfn.XLOOKUP(Tabla9[[#This Row],[ESPACIO ACADÉMICO DESTINO]]&amp;Tabla9[[#This Row],[PROGRAMA DESTINO]],Tabla49[ESPACIO ACADÉMICO DESTINO]&amp;Tabla49[PROGRAMA],Tabla49[CÓDIGO],"")</f>
        <v>73493</v>
      </c>
      <c r="H453" s="1" t="s">
        <v>482</v>
      </c>
      <c r="I453" s="14" cm="1">
        <f t="array" ref="I453">+_xlfn.XLOOKUP(Tabla9[[#This Row],[ESPACIO ACADÉMICO DESTINO]]&amp;Tabla9[[#This Row],[PROGRAMA DESTINO]],Tabla49[ESPACIO ACADÉMICO DESTINO]&amp;Tabla49[PROGRAMA],Tabla49[CRÉDITOS],"")</f>
        <v>2</v>
      </c>
      <c r="J453" s="14">
        <v>4.5</v>
      </c>
      <c r="K453" s="2" t="s">
        <v>116</v>
      </c>
      <c r="X453" s="52" t="s">
        <v>112</v>
      </c>
      <c r="Y453" s="8">
        <v>17066</v>
      </c>
      <c r="Z453" s="8" t="s">
        <v>707</v>
      </c>
      <c r="AA453" s="8">
        <v>3</v>
      </c>
    </row>
    <row r="454" spans="3:27" ht="30" x14ac:dyDescent="0.25">
      <c r="C454" s="1" t="str">
        <f>_xlfn.XLOOKUP(Tabla9[[#This Row],[PROGRAMA ORIGEN]],PROGRAMAS_N[PROGRAMAS ORIGEN],PROGRAMAS_N[NIVEL],"")</f>
        <v>TÉCNICO</v>
      </c>
      <c r="D454" s="16" t="s">
        <v>223</v>
      </c>
      <c r="E454" s="14">
        <v>250601018</v>
      </c>
      <c r="F454" s="10" t="s">
        <v>708</v>
      </c>
      <c r="G454" s="10" cm="1">
        <f t="array" ref="G454">+_xlfn.XLOOKUP(Tabla9[[#This Row],[ESPACIO ACADÉMICO DESTINO]]&amp;Tabla9[[#This Row],[PROGRAMA DESTINO]],Tabla49[ESPACIO ACADÉMICO DESTINO]&amp;Tabla49[PROGRAMA],Tabla49[CÓDIGO],"")</f>
        <v>16539</v>
      </c>
      <c r="H454" s="10" t="s">
        <v>709</v>
      </c>
      <c r="I454" s="14" cm="1">
        <f t="array" ref="I454">+_xlfn.XLOOKUP(Tabla9[[#This Row],[ESPACIO ACADÉMICO DESTINO]]&amp;Tabla9[[#This Row],[PROGRAMA DESTINO]],Tabla49[ESPACIO ACADÉMICO DESTINO]&amp;Tabla49[PROGRAMA],Tabla49[CRÉDITOS],"")</f>
        <v>3</v>
      </c>
      <c r="J454" s="14">
        <v>4.5</v>
      </c>
      <c r="K454" s="2" t="s">
        <v>116</v>
      </c>
      <c r="X454" s="52" t="s">
        <v>112</v>
      </c>
      <c r="Y454" s="8"/>
      <c r="Z454" s="8" t="s">
        <v>302</v>
      </c>
      <c r="AA454" s="8">
        <v>3</v>
      </c>
    </row>
    <row r="455" spans="3:27" ht="45" x14ac:dyDescent="0.25">
      <c r="C455" s="1" t="str">
        <f>_xlfn.XLOOKUP(Tabla9[[#This Row],[PROGRAMA ORIGEN]],PROGRAMAS_N[PROGRAMAS ORIGEN],PROGRAMAS_N[NIVEL],"")</f>
        <v>TÉCNICO</v>
      </c>
      <c r="D455" s="16" t="s">
        <v>223</v>
      </c>
      <c r="E455" s="14">
        <v>250601018</v>
      </c>
      <c r="F455" s="10" t="s">
        <v>708</v>
      </c>
      <c r="G455" s="1" cm="1">
        <f t="array" ref="G455">+_xlfn.XLOOKUP(Tabla9[[#This Row],[ESPACIO ACADÉMICO DESTINO]]&amp;Tabla9[[#This Row],[PROGRAMA DESTINO]],Tabla49[ESPACIO ACADÉMICO DESTINO]&amp;Tabla49[PROGRAMA],Tabla49[CÓDIGO],"")</f>
        <v>73505</v>
      </c>
      <c r="H455" s="1" t="s">
        <v>529</v>
      </c>
      <c r="I455" s="14" cm="1">
        <f t="array" ref="I455">+_xlfn.XLOOKUP(Tabla9[[#This Row],[ESPACIO ACADÉMICO DESTINO]]&amp;Tabla9[[#This Row],[PROGRAMA DESTINO]],Tabla49[ESPACIO ACADÉMICO DESTINO]&amp;Tabla49[PROGRAMA],Tabla49[CRÉDITOS],"")</f>
        <v>2</v>
      </c>
      <c r="J455" s="14">
        <v>4.5</v>
      </c>
      <c r="K455" s="2" t="s">
        <v>116</v>
      </c>
      <c r="X455" s="52" t="s">
        <v>112</v>
      </c>
      <c r="Y455" s="8">
        <v>17889</v>
      </c>
      <c r="Z455" s="8" t="s">
        <v>710</v>
      </c>
      <c r="AA455" s="8">
        <v>4</v>
      </c>
    </row>
    <row r="456" spans="3:27" ht="45" x14ac:dyDescent="0.25">
      <c r="C456" s="1" t="str">
        <f>_xlfn.XLOOKUP(Tabla9[[#This Row],[PROGRAMA ORIGEN]],PROGRAMAS_N[PROGRAMAS ORIGEN],PROGRAMAS_N[NIVEL],"")</f>
        <v>TÉCNICO</v>
      </c>
      <c r="D456" s="16" t="s">
        <v>223</v>
      </c>
      <c r="E456" s="14">
        <v>270501076</v>
      </c>
      <c r="F456" s="10" t="s">
        <v>711</v>
      </c>
      <c r="G456" s="1" cm="1">
        <f t="array" ref="G456">+_xlfn.XLOOKUP(Tabla9[[#This Row],[ESPACIO ACADÉMICO DESTINO]]&amp;Tabla9[[#This Row],[PROGRAMA DESTINO]],Tabla49[ESPACIO ACADÉMICO DESTINO]&amp;Tabla49[PROGRAMA],Tabla49[CÓDIGO],"")</f>
        <v>79490</v>
      </c>
      <c r="H456" s="1" t="s">
        <v>474</v>
      </c>
      <c r="I456" s="14" cm="1">
        <f t="array" ref="I456">+_xlfn.XLOOKUP(Tabla9[[#This Row],[ESPACIO ACADÉMICO DESTINO]]&amp;Tabla9[[#This Row],[PROGRAMA DESTINO]],Tabla49[ESPACIO ACADÉMICO DESTINO]&amp;Tabla49[PROGRAMA],Tabla49[CRÉDITOS],"")</f>
        <v>2</v>
      </c>
      <c r="J456" s="14">
        <v>4.5</v>
      </c>
      <c r="K456" s="2" t="s">
        <v>116</v>
      </c>
      <c r="X456" s="52" t="s">
        <v>112</v>
      </c>
      <c r="Y456" s="8">
        <v>17894</v>
      </c>
      <c r="Z456" s="8" t="s">
        <v>712</v>
      </c>
      <c r="AA456" s="8">
        <v>2</v>
      </c>
    </row>
    <row r="457" spans="3:27" ht="45" x14ac:dyDescent="0.25">
      <c r="C457" s="1" t="str">
        <f>_xlfn.XLOOKUP(Tabla9[[#This Row],[PROGRAMA ORIGEN]],PROGRAMAS_N[PROGRAMAS ORIGEN],PROGRAMAS_N[NIVEL],"")</f>
        <v>TÉCNICO</v>
      </c>
      <c r="D457" s="16" t="s">
        <v>223</v>
      </c>
      <c r="E457" s="14">
        <v>270501076</v>
      </c>
      <c r="F457" s="10" t="s">
        <v>711</v>
      </c>
      <c r="G457" s="1" cm="1">
        <f t="array" ref="G457">+_xlfn.XLOOKUP(Tabla9[[#This Row],[ESPACIO ACADÉMICO DESTINO]]&amp;Tabla9[[#This Row],[PROGRAMA DESTINO]],Tabla49[ESPACIO ACADÉMICO DESTINO]&amp;Tabla49[PROGRAMA],Tabla49[CÓDIGO],"")</f>
        <v>73502</v>
      </c>
      <c r="H457" s="1" t="s">
        <v>520</v>
      </c>
      <c r="I457" s="14" cm="1">
        <f t="array" ref="I457">+_xlfn.XLOOKUP(Tabla9[[#This Row],[ESPACIO ACADÉMICO DESTINO]]&amp;Tabla9[[#This Row],[PROGRAMA DESTINO]],Tabla49[ESPACIO ACADÉMICO DESTINO]&amp;Tabla49[PROGRAMA],Tabla49[CRÉDITOS],"")</f>
        <v>2</v>
      </c>
      <c r="J457" s="14">
        <v>4.5</v>
      </c>
      <c r="K457" s="2" t="s">
        <v>116</v>
      </c>
      <c r="X457" s="52" t="s">
        <v>112</v>
      </c>
      <c r="Y457" s="8">
        <v>17904</v>
      </c>
      <c r="Z457" s="8" t="s">
        <v>713</v>
      </c>
      <c r="AA457" s="8">
        <v>3</v>
      </c>
    </row>
    <row r="458" spans="3:27" ht="45" x14ac:dyDescent="0.25">
      <c r="C458" s="1" t="str">
        <f>_xlfn.XLOOKUP(Tabla9[[#This Row],[PROGRAMA ORIGEN]],PROGRAMAS_N[PROGRAMAS ORIGEN],PROGRAMAS_N[NIVEL],"")</f>
        <v>TÉCNICO</v>
      </c>
      <c r="D458" s="16" t="s">
        <v>223</v>
      </c>
      <c r="E458" s="14">
        <v>270501076</v>
      </c>
      <c r="F458" s="10" t="s">
        <v>711</v>
      </c>
      <c r="G458" s="1" cm="1">
        <f t="array" ref="G458">+_xlfn.XLOOKUP(Tabla9[[#This Row],[ESPACIO ACADÉMICO DESTINO]]&amp;Tabla9[[#This Row],[PROGRAMA DESTINO]],Tabla49[ESPACIO ACADÉMICO DESTINO]&amp;Tabla49[PROGRAMA],Tabla49[CÓDIGO],"")</f>
        <v>16541</v>
      </c>
      <c r="H458" s="1" t="s">
        <v>714</v>
      </c>
      <c r="I458" s="14" cm="1">
        <f t="array" ref="I458">+_xlfn.XLOOKUP(Tabla9[[#This Row],[ESPACIO ACADÉMICO DESTINO]]&amp;Tabla9[[#This Row],[PROGRAMA DESTINO]],Tabla49[ESPACIO ACADÉMICO DESTINO]&amp;Tabla49[PROGRAMA],Tabla49[CRÉDITOS],"")</f>
        <v>3</v>
      </c>
      <c r="J458" s="14">
        <v>4.5</v>
      </c>
      <c r="K458" s="2" t="s">
        <v>116</v>
      </c>
      <c r="X458" s="52" t="s">
        <v>112</v>
      </c>
      <c r="Y458" s="8">
        <v>17907</v>
      </c>
      <c r="Z458" s="8" t="s">
        <v>715</v>
      </c>
      <c r="AA458" s="8">
        <v>3</v>
      </c>
    </row>
    <row r="459" spans="3:27" ht="45" x14ac:dyDescent="0.25">
      <c r="C459" s="1" t="str">
        <f>_xlfn.XLOOKUP(Tabla9[[#This Row],[PROGRAMA ORIGEN]],PROGRAMAS_N[PROGRAMAS ORIGEN],PROGRAMAS_N[NIVEL],"")</f>
        <v>TÉCNICO</v>
      </c>
      <c r="D459" s="16" t="s">
        <v>223</v>
      </c>
      <c r="E459" s="14">
        <v>270501076</v>
      </c>
      <c r="F459" s="10" t="s">
        <v>711</v>
      </c>
      <c r="G459" s="1" cm="1">
        <f t="array" ref="G459">+_xlfn.XLOOKUP(Tabla9[[#This Row],[ESPACIO ACADÉMICO DESTINO]]&amp;Tabla9[[#This Row],[PROGRAMA DESTINO]],Tabla49[ESPACIO ACADÉMICO DESTINO]&amp;Tabla49[PROGRAMA],Tabla49[CÓDIGO],"")</f>
        <v>16588</v>
      </c>
      <c r="H459" s="1" t="s">
        <v>493</v>
      </c>
      <c r="I459" s="14" cm="1">
        <f t="array" ref="I459">+_xlfn.XLOOKUP(Tabla9[[#This Row],[ESPACIO ACADÉMICO DESTINO]]&amp;Tabla9[[#This Row],[PROGRAMA DESTINO]],Tabla49[ESPACIO ACADÉMICO DESTINO]&amp;Tabla49[PROGRAMA],Tabla49[CRÉDITOS],"")</f>
        <v>2</v>
      </c>
      <c r="J459" s="14">
        <v>4.5</v>
      </c>
      <c r="K459" s="2" t="s">
        <v>116</v>
      </c>
      <c r="X459" s="52" t="s">
        <v>112</v>
      </c>
      <c r="Y459" s="8">
        <v>17801</v>
      </c>
      <c r="Z459" s="8" t="s">
        <v>213</v>
      </c>
      <c r="AA459" s="8">
        <v>2</v>
      </c>
    </row>
    <row r="460" spans="3:27" ht="45" x14ac:dyDescent="0.25">
      <c r="C460" s="1" t="str">
        <f>_xlfn.XLOOKUP(Tabla9[[#This Row],[PROGRAMA ORIGEN]],PROGRAMAS_N[PROGRAMAS ORIGEN],PROGRAMAS_N[NIVEL],"")</f>
        <v>TÉCNICO</v>
      </c>
      <c r="D460" s="16" t="s">
        <v>223</v>
      </c>
      <c r="E460" s="14">
        <v>210601014</v>
      </c>
      <c r="F460" s="10" t="s">
        <v>716</v>
      </c>
      <c r="G460" s="1" cm="1">
        <f t="array" ref="G460">+_xlfn.XLOOKUP(Tabla9[[#This Row],[ESPACIO ACADÉMICO DESTINO]]&amp;Tabla9[[#This Row],[PROGRAMA DESTINO]],Tabla49[ESPACIO ACADÉMICO DESTINO]&amp;Tabla49[PROGRAMA],Tabla49[CÓDIGO],"")</f>
        <v>16723</v>
      </c>
      <c r="H460" s="1" t="s">
        <v>534</v>
      </c>
      <c r="I460" s="14" cm="1">
        <f t="array" ref="I460">+_xlfn.XLOOKUP(Tabla9[[#This Row],[ESPACIO ACADÉMICO DESTINO]]&amp;Tabla9[[#This Row],[PROGRAMA DESTINO]],Tabla49[ESPACIO ACADÉMICO DESTINO]&amp;Tabla49[PROGRAMA],Tabla49[CRÉDITOS],"")</f>
        <v>2</v>
      </c>
      <c r="J460" s="14">
        <v>4.5</v>
      </c>
      <c r="K460" s="2" t="s">
        <v>116</v>
      </c>
      <c r="X460" s="52" t="s">
        <v>112</v>
      </c>
      <c r="Y460" s="8"/>
      <c r="Z460" s="8" t="s">
        <v>304</v>
      </c>
      <c r="AA460" s="8">
        <v>3</v>
      </c>
    </row>
    <row r="461" spans="3:27" ht="45" x14ac:dyDescent="0.25">
      <c r="C461" s="1" t="str">
        <f>_xlfn.XLOOKUP(Tabla9[[#This Row],[PROGRAMA ORIGEN]],PROGRAMAS_N[PROGRAMAS ORIGEN],PROGRAMAS_N[NIVEL],"")</f>
        <v>TÉCNICO</v>
      </c>
      <c r="D461" s="16" t="s">
        <v>223</v>
      </c>
      <c r="E461" s="14">
        <v>210601014</v>
      </c>
      <c r="F461" s="10" t="s">
        <v>716</v>
      </c>
      <c r="G461" s="1" cm="1">
        <f t="array" ref="G461">+_xlfn.XLOOKUP(Tabla9[[#This Row],[ESPACIO ACADÉMICO DESTINO]]&amp;Tabla9[[#This Row],[PROGRAMA DESTINO]],Tabla49[ESPACIO ACADÉMICO DESTINO]&amp;Tabla49[PROGRAMA],Tabla49[CÓDIGO],"")</f>
        <v>16748</v>
      </c>
      <c r="H461" s="1" t="s">
        <v>511</v>
      </c>
      <c r="I461" s="14" cm="1">
        <f t="array" ref="I461">+_xlfn.XLOOKUP(Tabla9[[#This Row],[ESPACIO ACADÉMICO DESTINO]]&amp;Tabla9[[#This Row],[PROGRAMA DESTINO]],Tabla49[ESPACIO ACADÉMICO DESTINO]&amp;Tabla49[PROGRAMA],Tabla49[CRÉDITOS],"")</f>
        <v>2</v>
      </c>
      <c r="J461" s="14">
        <v>4.5</v>
      </c>
      <c r="K461" s="2" t="s">
        <v>116</v>
      </c>
      <c r="X461" s="52" t="s">
        <v>112</v>
      </c>
      <c r="Y461" s="8">
        <v>17890</v>
      </c>
      <c r="Z461" s="8" t="s">
        <v>717</v>
      </c>
      <c r="AA461" s="8">
        <v>4</v>
      </c>
    </row>
    <row r="462" spans="3:27" ht="45" x14ac:dyDescent="0.25">
      <c r="C462" s="1" t="str">
        <f>_xlfn.XLOOKUP(Tabla9[[#This Row],[PROGRAMA ORIGEN]],PROGRAMAS_N[PROGRAMAS ORIGEN],PROGRAMAS_N[NIVEL],"")</f>
        <v>TÉCNICO</v>
      </c>
      <c r="D462" s="16" t="s">
        <v>223</v>
      </c>
      <c r="E462" s="14">
        <v>210601014</v>
      </c>
      <c r="F462" s="10" t="s">
        <v>716</v>
      </c>
      <c r="G462" s="1" cm="1">
        <f t="array" ref="G462">+_xlfn.XLOOKUP(Tabla9[[#This Row],[ESPACIO ACADÉMICO DESTINO]]&amp;Tabla9[[#This Row],[PROGRAMA DESTINO]],Tabla49[ESPACIO ACADÉMICO DESTINO]&amp;Tabla49[PROGRAMA],Tabla49[CÓDIGO],"")</f>
        <v>16540</v>
      </c>
      <c r="H462" s="1" t="s">
        <v>674</v>
      </c>
      <c r="I462" s="14" cm="1">
        <f t="array" ref="I462">+_xlfn.XLOOKUP(Tabla9[[#This Row],[ESPACIO ACADÉMICO DESTINO]]&amp;Tabla9[[#This Row],[PROGRAMA DESTINO]],Tabla49[ESPACIO ACADÉMICO DESTINO]&amp;Tabla49[PROGRAMA],Tabla49[CRÉDITOS],"")</f>
        <v>3</v>
      </c>
      <c r="J462" s="14">
        <v>4.5</v>
      </c>
      <c r="K462" s="2" t="s">
        <v>116</v>
      </c>
      <c r="X462" s="52" t="s">
        <v>112</v>
      </c>
      <c r="Y462" s="8">
        <v>17895</v>
      </c>
      <c r="Z462" s="8" t="s">
        <v>718</v>
      </c>
      <c r="AA462" s="8">
        <v>2</v>
      </c>
    </row>
    <row r="463" spans="3:27" ht="45" x14ac:dyDescent="0.25">
      <c r="C463" s="1" t="str">
        <f>_xlfn.XLOOKUP(Tabla9[[#This Row],[PROGRAMA ORIGEN]],PROGRAMAS_N[PROGRAMAS ORIGEN],PROGRAMAS_N[NIVEL],"")</f>
        <v>TÉCNICO</v>
      </c>
      <c r="D463" s="16" t="s">
        <v>220</v>
      </c>
      <c r="E463" s="14">
        <v>260101002</v>
      </c>
      <c r="F463" s="10" t="s">
        <v>719</v>
      </c>
      <c r="G463" s="10" cm="1">
        <f t="array" ref="G463">+_xlfn.XLOOKUP(Tabla9[[#This Row],[ESPACIO ACADÉMICO DESTINO]]&amp;Tabla9[[#This Row],[PROGRAMA DESTINO]],Tabla49[ESPACIO ACADÉMICO DESTINO]&amp;Tabla49[PROGRAMA],Tabla49[CÓDIGO],"")</f>
        <v>16720</v>
      </c>
      <c r="H463" s="10" t="s">
        <v>408</v>
      </c>
      <c r="I463" s="14" cm="1">
        <f t="array" ref="I463">+_xlfn.XLOOKUP(Tabla9[[#This Row],[ESPACIO ACADÉMICO DESTINO]]&amp;Tabla9[[#This Row],[PROGRAMA DESTINO]],Tabla49[ESPACIO ACADÉMICO DESTINO]&amp;Tabla49[PROGRAMA],Tabla49[CRÉDITOS],"")</f>
        <v>2</v>
      </c>
      <c r="J463" s="14">
        <v>4.5</v>
      </c>
      <c r="K463" s="2" t="s">
        <v>116</v>
      </c>
      <c r="X463" s="52" t="s">
        <v>112</v>
      </c>
      <c r="Y463" s="8">
        <v>17899</v>
      </c>
      <c r="Z463" s="8" t="s">
        <v>720</v>
      </c>
      <c r="AA463" s="8">
        <v>3</v>
      </c>
    </row>
    <row r="464" spans="3:27" ht="30" x14ac:dyDescent="0.25">
      <c r="C464" s="1" t="str">
        <f>_xlfn.XLOOKUP(Tabla9[[#This Row],[PROGRAMA ORIGEN]],PROGRAMAS_N[PROGRAMAS ORIGEN],PROGRAMAS_N[NIVEL],"")</f>
        <v>TÉCNICO</v>
      </c>
      <c r="D464" s="16" t="s">
        <v>220</v>
      </c>
      <c r="E464" s="14">
        <v>270501032</v>
      </c>
      <c r="F464" s="10" t="s">
        <v>721</v>
      </c>
      <c r="G464" s="1" cm="1">
        <f t="array" ref="G464">+_xlfn.XLOOKUP(Tabla9[[#This Row],[ESPACIO ACADÉMICO DESTINO]]&amp;Tabla9[[#This Row],[PROGRAMA DESTINO]],Tabla49[ESPACIO ACADÉMICO DESTINO]&amp;Tabla49[PROGRAMA],Tabla49[CÓDIGO],"")</f>
        <v>16734</v>
      </c>
      <c r="H464" s="1" t="s">
        <v>467</v>
      </c>
      <c r="I464" s="14" cm="1">
        <f t="array" ref="I464">+_xlfn.XLOOKUP(Tabla9[[#This Row],[ESPACIO ACADÉMICO DESTINO]]&amp;Tabla9[[#This Row],[PROGRAMA DESTINO]],Tabla49[ESPACIO ACADÉMICO DESTINO]&amp;Tabla49[PROGRAMA],Tabla49[CRÉDITOS],"")</f>
        <v>3</v>
      </c>
      <c r="J464" s="14">
        <v>4.5</v>
      </c>
      <c r="K464" s="2" t="s">
        <v>116</v>
      </c>
      <c r="X464" s="52" t="s">
        <v>112</v>
      </c>
      <c r="Y464" s="8">
        <v>17908</v>
      </c>
      <c r="Z464" s="8" t="s">
        <v>722</v>
      </c>
      <c r="AA464" s="8">
        <v>2</v>
      </c>
    </row>
    <row r="465" spans="3:27" ht="30" x14ac:dyDescent="0.25">
      <c r="C465" s="1" t="str">
        <f>_xlfn.XLOOKUP(Tabla9[[#This Row],[PROGRAMA ORIGEN]],PROGRAMAS_N[PROGRAMAS ORIGEN],PROGRAMAS_N[NIVEL],"")</f>
        <v>TÉCNICO</v>
      </c>
      <c r="D465" s="16" t="s">
        <v>220</v>
      </c>
      <c r="E465" s="14">
        <v>270501032</v>
      </c>
      <c r="F465" s="10" t="s">
        <v>721</v>
      </c>
      <c r="G465" s="1" cm="1">
        <f t="array" ref="G465">+_xlfn.XLOOKUP(Tabla9[[#This Row],[ESPACIO ACADÉMICO DESTINO]]&amp;Tabla9[[#This Row],[PROGRAMA DESTINO]],Tabla49[ESPACIO ACADÉMICO DESTINO]&amp;Tabla49[PROGRAMA],Tabla49[CÓDIGO],"")</f>
        <v>16730</v>
      </c>
      <c r="H465" s="1" t="s">
        <v>462</v>
      </c>
      <c r="I465" s="14" cm="1">
        <f t="array" ref="I465">+_xlfn.XLOOKUP(Tabla9[[#This Row],[ESPACIO ACADÉMICO DESTINO]]&amp;Tabla9[[#This Row],[PROGRAMA DESTINO]],Tabla49[ESPACIO ACADÉMICO DESTINO]&amp;Tabla49[PROGRAMA],Tabla49[CRÉDITOS],"")</f>
        <v>2</v>
      </c>
      <c r="J465" s="14">
        <v>4.5</v>
      </c>
      <c r="K465" s="2" t="s">
        <v>116</v>
      </c>
      <c r="X465" s="52" t="s">
        <v>112</v>
      </c>
      <c r="Y465" s="8"/>
      <c r="Z465" s="8" t="s">
        <v>514</v>
      </c>
      <c r="AA465" s="8">
        <v>3</v>
      </c>
    </row>
    <row r="466" spans="3:27" ht="30" x14ac:dyDescent="0.25">
      <c r="C466" s="1" t="str">
        <f>_xlfn.XLOOKUP(Tabla9[[#This Row],[PROGRAMA ORIGEN]],PROGRAMAS_N[PROGRAMAS ORIGEN],PROGRAMAS_N[NIVEL],"")</f>
        <v>TÉCNICO</v>
      </c>
      <c r="D466" s="16" t="s">
        <v>220</v>
      </c>
      <c r="E466" s="14">
        <v>270501035</v>
      </c>
      <c r="F466" s="10" t="s">
        <v>626</v>
      </c>
      <c r="G466" s="1" cm="1">
        <f t="array" ref="G466">+_xlfn.XLOOKUP(Tabla9[[#This Row],[ESPACIO ACADÉMICO DESTINO]]&amp;Tabla9[[#This Row],[PROGRAMA DESTINO]],Tabla49[ESPACIO ACADÉMICO DESTINO]&amp;Tabla49[PROGRAMA],Tabla49[CÓDIGO],"")</f>
        <v>73506</v>
      </c>
      <c r="H466" s="1" t="s">
        <v>531</v>
      </c>
      <c r="I466" s="14" cm="1">
        <f t="array" ref="I466">+_xlfn.XLOOKUP(Tabla9[[#This Row],[ESPACIO ACADÉMICO DESTINO]]&amp;Tabla9[[#This Row],[PROGRAMA DESTINO]],Tabla49[ESPACIO ACADÉMICO DESTINO]&amp;Tabla49[PROGRAMA],Tabla49[CRÉDITOS],"")</f>
        <v>2</v>
      </c>
      <c r="J466" s="14">
        <v>4.5</v>
      </c>
      <c r="K466" s="2" t="s">
        <v>116</v>
      </c>
      <c r="X466" s="52" t="s">
        <v>112</v>
      </c>
      <c r="Y466" s="8"/>
      <c r="Z466" s="8" t="s">
        <v>311</v>
      </c>
      <c r="AA466" s="8">
        <v>3</v>
      </c>
    </row>
    <row r="467" spans="3:27" ht="30" x14ac:dyDescent="0.25">
      <c r="C467" s="1" t="str">
        <f>_xlfn.XLOOKUP(Tabla9[[#This Row],[PROGRAMA ORIGEN]],PROGRAMAS_N[PROGRAMAS ORIGEN],PROGRAMAS_N[NIVEL],"")</f>
        <v>TÉCNICO</v>
      </c>
      <c r="D467" s="16" t="s">
        <v>220</v>
      </c>
      <c r="E467" s="14">
        <v>270501039</v>
      </c>
      <c r="F467" s="10" t="s">
        <v>723</v>
      </c>
      <c r="G467" s="1" cm="1">
        <f t="array" ref="G467">+_xlfn.XLOOKUP(Tabla9[[#This Row],[ESPACIO ACADÉMICO DESTINO]]&amp;Tabla9[[#This Row],[PROGRAMA DESTINO]],Tabla49[ESPACIO ACADÉMICO DESTINO]&amp;Tabla49[PROGRAMA],Tabla49[CÓDIGO],"")</f>
        <v>73500</v>
      </c>
      <c r="H467" s="1" t="s">
        <v>724</v>
      </c>
      <c r="I467" s="14" cm="1">
        <f t="array" ref="I467">+_xlfn.XLOOKUP(Tabla9[[#This Row],[ESPACIO ACADÉMICO DESTINO]]&amp;Tabla9[[#This Row],[PROGRAMA DESTINO]],Tabla49[ESPACIO ACADÉMICO DESTINO]&amp;Tabla49[PROGRAMA],Tabla49[CRÉDITOS],"")</f>
        <v>3</v>
      </c>
      <c r="J467" s="14">
        <v>4.5</v>
      </c>
      <c r="K467" s="2" t="s">
        <v>116</v>
      </c>
      <c r="X467" s="52" t="s">
        <v>112</v>
      </c>
      <c r="Y467" s="8">
        <v>17891</v>
      </c>
      <c r="Z467" s="8" t="s">
        <v>725</v>
      </c>
      <c r="AA467" s="8">
        <v>4</v>
      </c>
    </row>
    <row r="468" spans="3:27" ht="30" x14ac:dyDescent="0.25">
      <c r="C468" s="1" t="str">
        <f>_xlfn.XLOOKUP(Tabla9[[#This Row],[PROGRAMA ORIGEN]],PROGRAMAS_N[PROGRAMAS ORIGEN],PROGRAMAS_N[NIVEL],"")</f>
        <v>TÉCNICO</v>
      </c>
      <c r="D468" s="16" t="s">
        <v>220</v>
      </c>
      <c r="E468" s="14">
        <v>270501039</v>
      </c>
      <c r="F468" s="10" t="s">
        <v>723</v>
      </c>
      <c r="G468" s="1" cm="1">
        <f t="array" ref="G468">+_xlfn.XLOOKUP(Tabla9[[#This Row],[ESPACIO ACADÉMICO DESTINO]]&amp;Tabla9[[#This Row],[PROGRAMA DESTINO]],Tabla49[ESPACIO ACADÉMICO DESTINO]&amp;Tabla49[PROGRAMA],Tabla49[CÓDIGO],"")</f>
        <v>73496</v>
      </c>
      <c r="H468" s="1" t="s">
        <v>495</v>
      </c>
      <c r="I468" s="14" cm="1">
        <f t="array" ref="I468">+_xlfn.XLOOKUP(Tabla9[[#This Row],[ESPACIO ACADÉMICO DESTINO]]&amp;Tabla9[[#This Row],[PROGRAMA DESTINO]],Tabla49[ESPACIO ACADÉMICO DESTINO]&amp;Tabla49[PROGRAMA],Tabla49[CRÉDITOS],"")</f>
        <v>3</v>
      </c>
      <c r="J468" s="14">
        <v>4.5</v>
      </c>
      <c r="K468" s="2" t="s">
        <v>116</v>
      </c>
      <c r="X468" s="52" t="s">
        <v>112</v>
      </c>
      <c r="Y468" s="8">
        <v>17903</v>
      </c>
      <c r="Z468" s="8" t="s">
        <v>726</v>
      </c>
      <c r="AA468" s="8">
        <v>3</v>
      </c>
    </row>
    <row r="469" spans="3:27" ht="30" x14ac:dyDescent="0.25">
      <c r="C469" s="1" t="str">
        <f>_xlfn.XLOOKUP(Tabla9[[#This Row],[PROGRAMA ORIGEN]],PROGRAMAS_N[PROGRAMAS ORIGEN],PROGRAMAS_N[NIVEL],"")</f>
        <v>TÉCNICO</v>
      </c>
      <c r="D469" s="16" t="s">
        <v>220</v>
      </c>
      <c r="E469" s="14">
        <v>270501039</v>
      </c>
      <c r="F469" s="10" t="s">
        <v>723</v>
      </c>
      <c r="G469" s="1" cm="1">
        <f t="array" ref="G469">+_xlfn.XLOOKUP(Tabla9[[#This Row],[ESPACIO ACADÉMICO DESTINO]]&amp;Tabla9[[#This Row],[PROGRAMA DESTINO]],Tabla49[ESPACIO ACADÉMICO DESTINO]&amp;Tabla49[PROGRAMA],Tabla49[CÓDIGO],"")</f>
        <v>16539</v>
      </c>
      <c r="H469" s="1" t="s">
        <v>679</v>
      </c>
      <c r="I469" s="14" cm="1">
        <f t="array" ref="I469">+_xlfn.XLOOKUP(Tabla9[[#This Row],[ESPACIO ACADÉMICO DESTINO]]&amp;Tabla9[[#This Row],[PROGRAMA DESTINO]],Tabla49[ESPACIO ACADÉMICO DESTINO]&amp;Tabla49[PROGRAMA],Tabla49[CRÉDITOS],"")</f>
        <v>3</v>
      </c>
      <c r="J469" s="14">
        <v>4.5</v>
      </c>
      <c r="K469" s="2" t="s">
        <v>116</v>
      </c>
      <c r="X469" s="52" t="s">
        <v>112</v>
      </c>
      <c r="Y469" s="8">
        <v>17905</v>
      </c>
      <c r="Z469" s="8" t="s">
        <v>727</v>
      </c>
      <c r="AA469" s="8">
        <v>2</v>
      </c>
    </row>
    <row r="470" spans="3:27" ht="30" x14ac:dyDescent="0.25">
      <c r="C470" s="1" t="str">
        <f>_xlfn.XLOOKUP(Tabla9[[#This Row],[PROGRAMA ORIGEN]],PROGRAMAS_N[PROGRAMAS ORIGEN],PROGRAMAS_N[NIVEL],"")</f>
        <v>TECNÓLOGO</v>
      </c>
      <c r="D470" s="16" t="s">
        <v>162</v>
      </c>
      <c r="E470" s="14">
        <v>270401012</v>
      </c>
      <c r="F470" s="10" t="s">
        <v>728</v>
      </c>
      <c r="G470" s="10" cm="1">
        <f t="array" ref="G470">+_xlfn.XLOOKUP(Tabla9[[#This Row],[ESPACIO ACADÉMICO DESTINO]]&amp;Tabla9[[#This Row],[PROGRAMA DESTINO]],Tabla49[ESPACIO ACADÉMICO DESTINO]&amp;Tabla49[PROGRAMA],Tabla49[CÓDIGO],"")</f>
        <v>16728</v>
      </c>
      <c r="H470" s="10" t="s">
        <v>463</v>
      </c>
      <c r="I470" s="14" cm="1">
        <f t="array" ref="I470">+_xlfn.XLOOKUP(Tabla9[[#This Row],[ESPACIO ACADÉMICO DESTINO]]&amp;Tabla9[[#This Row],[PROGRAMA DESTINO]],Tabla49[ESPACIO ACADÉMICO DESTINO]&amp;Tabla49[PROGRAMA],Tabla49[CRÉDITOS],"")</f>
        <v>3</v>
      </c>
      <c r="J470" s="14">
        <v>4.5</v>
      </c>
      <c r="K470" s="2" t="s">
        <v>116</v>
      </c>
      <c r="X470" s="52" t="s">
        <v>112</v>
      </c>
      <c r="Y470" s="8"/>
      <c r="Z470" s="8" t="s">
        <v>313</v>
      </c>
      <c r="AA470" s="8">
        <v>3</v>
      </c>
    </row>
    <row r="471" spans="3:27" ht="30" x14ac:dyDescent="0.25">
      <c r="C471" s="1" t="str">
        <f>_xlfn.XLOOKUP(Tabla9[[#This Row],[PROGRAMA ORIGEN]],PROGRAMAS_N[PROGRAMAS ORIGEN],PROGRAMAS_N[NIVEL],"")</f>
        <v>TECNÓLOGO</v>
      </c>
      <c r="D471" s="16" t="s">
        <v>162</v>
      </c>
      <c r="E471" s="14">
        <v>210301019</v>
      </c>
      <c r="F471" s="10" t="s">
        <v>729</v>
      </c>
      <c r="G471" s="10" cm="1">
        <f t="array" ref="G471">+_xlfn.XLOOKUP(Tabla9[[#This Row],[ESPACIO ACADÉMICO DESTINO]]&amp;Tabla9[[#This Row],[PROGRAMA DESTINO]],Tabla49[ESPACIO ACADÉMICO DESTINO]&amp;Tabla49[PROGRAMA],Tabla49[CÓDIGO],"")</f>
        <v>16720</v>
      </c>
      <c r="H471" s="10" t="s">
        <v>408</v>
      </c>
      <c r="I471" s="14" cm="1">
        <f t="array" ref="I471">+_xlfn.XLOOKUP(Tabla9[[#This Row],[ESPACIO ACADÉMICO DESTINO]]&amp;Tabla9[[#This Row],[PROGRAMA DESTINO]],Tabla49[ESPACIO ACADÉMICO DESTINO]&amp;Tabla49[PROGRAMA],Tabla49[CRÉDITOS],"")</f>
        <v>2</v>
      </c>
      <c r="J471" s="14">
        <v>4.5</v>
      </c>
      <c r="K471" s="2" t="s">
        <v>116</v>
      </c>
      <c r="X471" s="52" t="s">
        <v>112</v>
      </c>
      <c r="Y471" s="8">
        <v>17892</v>
      </c>
      <c r="Z471" s="8" t="s">
        <v>730</v>
      </c>
      <c r="AA471" s="8">
        <v>4</v>
      </c>
    </row>
    <row r="472" spans="3:27" ht="30" x14ac:dyDescent="0.25">
      <c r="C472" s="1" t="str">
        <f>_xlfn.XLOOKUP(Tabla9[[#This Row],[PROGRAMA ORIGEN]],PROGRAMAS_N[PROGRAMAS ORIGEN],PROGRAMAS_N[NIVEL],"")</f>
        <v>TECNÓLOGO</v>
      </c>
      <c r="D472" s="16" t="s">
        <v>162</v>
      </c>
      <c r="E472" s="14">
        <v>210301019</v>
      </c>
      <c r="F472" s="10" t="s">
        <v>729</v>
      </c>
      <c r="G472" s="1" cm="1">
        <f t="array" ref="G472">+_xlfn.XLOOKUP(Tabla9[[#This Row],[ESPACIO ACADÉMICO DESTINO]]&amp;Tabla9[[#This Row],[PROGRAMA DESTINO]],Tabla49[ESPACIO ACADÉMICO DESTINO]&amp;Tabla49[PROGRAMA],Tabla49[CÓDIGO],"")</f>
        <v>16719</v>
      </c>
      <c r="H472" s="1" t="s">
        <v>391</v>
      </c>
      <c r="I472" s="14" cm="1">
        <f t="array" ref="I472">+_xlfn.XLOOKUP(Tabla9[[#This Row],[ESPACIO ACADÉMICO DESTINO]]&amp;Tabla9[[#This Row],[PROGRAMA DESTINO]],Tabla49[ESPACIO ACADÉMICO DESTINO]&amp;Tabla49[PROGRAMA],Tabla49[CRÉDITOS],"")</f>
        <v>2</v>
      </c>
      <c r="J472" s="14">
        <v>4.5</v>
      </c>
      <c r="K472" s="2" t="s">
        <v>116</v>
      </c>
      <c r="X472" s="52" t="s">
        <v>112</v>
      </c>
      <c r="Y472" s="8">
        <v>17900</v>
      </c>
      <c r="Z472" s="8" t="s">
        <v>731</v>
      </c>
      <c r="AA472" s="8">
        <v>3</v>
      </c>
    </row>
    <row r="473" spans="3:27" ht="30" x14ac:dyDescent="0.25">
      <c r="C473" s="1" t="str">
        <f>_xlfn.XLOOKUP(Tabla9[[#This Row],[PROGRAMA ORIGEN]],PROGRAMAS_N[PROGRAMAS ORIGEN],PROGRAMAS_N[NIVEL],"")</f>
        <v>TECNÓLOGO</v>
      </c>
      <c r="D473" s="16" t="s">
        <v>162</v>
      </c>
      <c r="E473" s="14">
        <v>210301019</v>
      </c>
      <c r="F473" s="10" t="s">
        <v>729</v>
      </c>
      <c r="G473" s="1" cm="1">
        <f t="array" ref="G473">+_xlfn.XLOOKUP(Tabla9[[#This Row],[ESPACIO ACADÉMICO DESTINO]]&amp;Tabla9[[#This Row],[PROGRAMA DESTINO]],Tabla49[ESPACIO ACADÉMICO DESTINO]&amp;Tabla49[PROGRAMA],Tabla49[CÓDIGO],"")</f>
        <v>16748</v>
      </c>
      <c r="H473" s="1" t="s">
        <v>511</v>
      </c>
      <c r="I473" s="14" cm="1">
        <f t="array" ref="I473">+_xlfn.XLOOKUP(Tabla9[[#This Row],[ESPACIO ACADÉMICO DESTINO]]&amp;Tabla9[[#This Row],[PROGRAMA DESTINO]],Tabla49[ESPACIO ACADÉMICO DESTINO]&amp;Tabla49[PROGRAMA],Tabla49[CRÉDITOS],"")</f>
        <v>2</v>
      </c>
      <c r="J473" s="14">
        <v>4.5</v>
      </c>
      <c r="K473" s="2" t="s">
        <v>116</v>
      </c>
      <c r="X473" s="52" t="s">
        <v>112</v>
      </c>
      <c r="Y473" s="8">
        <v>17010</v>
      </c>
      <c r="Z473" s="8" t="s">
        <v>732</v>
      </c>
      <c r="AA473" s="8">
        <v>2</v>
      </c>
    </row>
    <row r="474" spans="3:27" ht="30" x14ac:dyDescent="0.25">
      <c r="C474" s="1" t="str">
        <f>_xlfn.XLOOKUP(Tabla9[[#This Row],[PROGRAMA ORIGEN]],PROGRAMAS_N[PROGRAMAS ORIGEN],PROGRAMAS_N[NIVEL],"")</f>
        <v>TECNÓLOGO</v>
      </c>
      <c r="D474" s="16" t="s">
        <v>162</v>
      </c>
      <c r="E474" s="14">
        <v>291101053</v>
      </c>
      <c r="F474" s="10" t="s">
        <v>733</v>
      </c>
      <c r="G474" s="1" cm="1">
        <f t="array" ref="G474">+_xlfn.XLOOKUP(Tabla9[[#This Row],[ESPACIO ACADÉMICO DESTINO]]&amp;Tabla9[[#This Row],[PROGRAMA DESTINO]],Tabla49[ESPACIO ACADÉMICO DESTINO]&amp;Tabla49[PROGRAMA],Tabla49[CÓDIGO],"")</f>
        <v>73502</v>
      </c>
      <c r="H474" s="1" t="s">
        <v>520</v>
      </c>
      <c r="I474" s="14" cm="1">
        <f t="array" ref="I474">+_xlfn.XLOOKUP(Tabla9[[#This Row],[ESPACIO ACADÉMICO DESTINO]]&amp;Tabla9[[#This Row],[PROGRAMA DESTINO]],Tabla49[ESPACIO ACADÉMICO DESTINO]&amp;Tabla49[PROGRAMA],Tabla49[CRÉDITOS],"")</f>
        <v>2</v>
      </c>
      <c r="J474" s="14">
        <v>4.5</v>
      </c>
      <c r="K474" s="2" t="s">
        <v>116</v>
      </c>
      <c r="X474" s="52" t="s">
        <v>112</v>
      </c>
      <c r="Y474" s="8"/>
      <c r="Z474" s="8" t="s">
        <v>524</v>
      </c>
      <c r="AA474" s="8">
        <v>3</v>
      </c>
    </row>
    <row r="475" spans="3:27" ht="30" x14ac:dyDescent="0.25">
      <c r="C475" s="1" t="str">
        <f>_xlfn.XLOOKUP(Tabla9[[#This Row],[PROGRAMA ORIGEN]],PROGRAMAS_N[PROGRAMAS ORIGEN],PROGRAMAS_N[NIVEL],"")</f>
        <v>TECNÓLOGO</v>
      </c>
      <c r="D475" s="16" t="s">
        <v>162</v>
      </c>
      <c r="E475" s="14">
        <v>291101053</v>
      </c>
      <c r="F475" s="10" t="s">
        <v>733</v>
      </c>
      <c r="G475" s="1" cm="1">
        <f t="array" ref="G475">+_xlfn.XLOOKUP(Tabla9[[#This Row],[ESPACIO ACADÉMICO DESTINO]]&amp;Tabla9[[#This Row],[PROGRAMA DESTINO]],Tabla49[ESPACIO ACADÉMICO DESTINO]&amp;Tabla49[PROGRAMA],Tabla49[CÓDIGO],"")</f>
        <v>16739</v>
      </c>
      <c r="H475" s="1" t="s">
        <v>500</v>
      </c>
      <c r="I475" s="14" cm="1">
        <f t="array" ref="I475">+_xlfn.XLOOKUP(Tabla9[[#This Row],[ESPACIO ACADÉMICO DESTINO]]&amp;Tabla9[[#This Row],[PROGRAMA DESTINO]],Tabla49[ESPACIO ACADÉMICO DESTINO]&amp;Tabla49[PROGRAMA],Tabla49[CRÉDITOS],"")</f>
        <v>2</v>
      </c>
      <c r="J475" s="14">
        <v>4.5</v>
      </c>
      <c r="K475" s="2" t="s">
        <v>116</v>
      </c>
      <c r="X475" s="52" t="s">
        <v>80</v>
      </c>
      <c r="Y475" s="8">
        <v>10004</v>
      </c>
      <c r="Z475" s="8" t="s">
        <v>734</v>
      </c>
      <c r="AA475" s="8">
        <v>0</v>
      </c>
    </row>
    <row r="476" spans="3:27" ht="30" x14ac:dyDescent="0.25">
      <c r="C476" s="1" t="str">
        <f>_xlfn.XLOOKUP(Tabla9[[#This Row],[PROGRAMA ORIGEN]],PROGRAMAS_N[PROGRAMAS ORIGEN],PROGRAMAS_N[NIVEL],"")</f>
        <v>TECNÓLOGO</v>
      </c>
      <c r="D476" s="16" t="s">
        <v>162</v>
      </c>
      <c r="E476" s="14">
        <v>291101053</v>
      </c>
      <c r="F476" s="10" t="s">
        <v>733</v>
      </c>
      <c r="G476" s="1" cm="1">
        <f t="array" ref="G476">+_xlfn.XLOOKUP(Tabla9[[#This Row],[ESPACIO ACADÉMICO DESTINO]]&amp;Tabla9[[#This Row],[PROGRAMA DESTINO]],Tabla49[ESPACIO ACADÉMICO DESTINO]&amp;Tabla49[PROGRAMA],Tabla49[CÓDIGO],"")</f>
        <v>73503</v>
      </c>
      <c r="H476" s="1" t="s">
        <v>522</v>
      </c>
      <c r="I476" s="14" cm="1">
        <f t="array" ref="I476">+_xlfn.XLOOKUP(Tabla9[[#This Row],[ESPACIO ACADÉMICO DESTINO]]&amp;Tabla9[[#This Row],[PROGRAMA DESTINO]],Tabla49[ESPACIO ACADÉMICO DESTINO]&amp;Tabla49[PROGRAMA],Tabla49[CRÉDITOS],"")</f>
        <v>2</v>
      </c>
      <c r="J476" s="14">
        <v>4.5</v>
      </c>
      <c r="K476" s="2" t="s">
        <v>116</v>
      </c>
      <c r="X476" s="52" t="s">
        <v>80</v>
      </c>
      <c r="Y476" s="8">
        <v>50101</v>
      </c>
      <c r="Z476" s="8" t="s">
        <v>308</v>
      </c>
      <c r="AA476" s="8">
        <v>2</v>
      </c>
    </row>
    <row r="477" spans="3:27" ht="30" x14ac:dyDescent="0.25">
      <c r="C477" s="1" t="str">
        <f>_xlfn.XLOOKUP(Tabla9[[#This Row],[PROGRAMA ORIGEN]],PROGRAMAS_N[PROGRAMAS ORIGEN],PROGRAMAS_N[NIVEL],"")</f>
        <v>TECNÓLOGO</v>
      </c>
      <c r="D477" s="16" t="s">
        <v>162</v>
      </c>
      <c r="E477" s="14">
        <v>291101053</v>
      </c>
      <c r="F477" s="10" t="s">
        <v>733</v>
      </c>
      <c r="G477" s="1" cm="1">
        <f t="array" ref="G477">+_xlfn.XLOOKUP(Tabla9[[#This Row],[ESPACIO ACADÉMICO DESTINO]]&amp;Tabla9[[#This Row],[PROGRAMA DESTINO]],Tabla49[ESPACIO ACADÉMICO DESTINO]&amp;Tabla49[PROGRAMA],Tabla49[CÓDIGO],"")</f>
        <v>16723</v>
      </c>
      <c r="H477" s="1" t="s">
        <v>534</v>
      </c>
      <c r="I477" s="14" cm="1">
        <f t="array" ref="I477">+_xlfn.XLOOKUP(Tabla9[[#This Row],[ESPACIO ACADÉMICO DESTINO]]&amp;Tabla9[[#This Row],[PROGRAMA DESTINO]],Tabla49[ESPACIO ACADÉMICO DESTINO]&amp;Tabla49[PROGRAMA],Tabla49[CRÉDITOS],"")</f>
        <v>2</v>
      </c>
      <c r="J477" s="14">
        <v>4.5</v>
      </c>
      <c r="K477" s="2" t="s">
        <v>116</v>
      </c>
      <c r="X477" s="52" t="s">
        <v>80</v>
      </c>
      <c r="Y477" s="8">
        <v>50102</v>
      </c>
      <c r="Z477" s="8" t="s">
        <v>310</v>
      </c>
      <c r="AA477" s="8">
        <v>2</v>
      </c>
    </row>
    <row r="478" spans="3:27" ht="30" x14ac:dyDescent="0.25">
      <c r="C478" s="1" t="str">
        <f>_xlfn.XLOOKUP(Tabla9[[#This Row],[PROGRAMA ORIGEN]],PROGRAMAS_N[PROGRAMAS ORIGEN],PROGRAMAS_N[NIVEL],"")</f>
        <v>TECNÓLOGO</v>
      </c>
      <c r="D478" s="16" t="s">
        <v>162</v>
      </c>
      <c r="E478" s="14">
        <v>270401005</v>
      </c>
      <c r="F478" s="10" t="s">
        <v>735</v>
      </c>
      <c r="G478" s="1" cm="1">
        <f t="array" ref="G478">+_xlfn.XLOOKUP(Tabla9[[#This Row],[ESPACIO ACADÉMICO DESTINO]]&amp;Tabla9[[#This Row],[PROGRAMA DESTINO]],Tabla49[ESPACIO ACADÉMICO DESTINO]&amp;Tabla49[PROGRAMA],Tabla49[CÓDIGO],"")</f>
        <v>16541</v>
      </c>
      <c r="H478" s="1" t="s">
        <v>647</v>
      </c>
      <c r="I478" s="14" cm="1">
        <f t="array" ref="I478">+_xlfn.XLOOKUP(Tabla9[[#This Row],[ESPACIO ACADÉMICO DESTINO]]&amp;Tabla9[[#This Row],[PROGRAMA DESTINO]],Tabla49[ESPACIO ACADÉMICO DESTINO]&amp;Tabla49[PROGRAMA],Tabla49[CRÉDITOS],"")</f>
        <v>3</v>
      </c>
      <c r="J478" s="14">
        <v>4.5</v>
      </c>
      <c r="K478" s="2" t="s">
        <v>116</v>
      </c>
      <c r="X478" s="52" t="s">
        <v>80</v>
      </c>
      <c r="Y478" s="8">
        <v>50103</v>
      </c>
      <c r="Z478" s="8" t="s">
        <v>320</v>
      </c>
      <c r="AA478" s="8">
        <v>2</v>
      </c>
    </row>
    <row r="479" spans="3:27" ht="30" x14ac:dyDescent="0.25">
      <c r="C479" s="1" t="str">
        <f>_xlfn.XLOOKUP(Tabla9[[#This Row],[PROGRAMA ORIGEN]],PROGRAMAS_N[PROGRAMAS ORIGEN],PROGRAMAS_N[NIVEL],"")</f>
        <v>TECNÓLOGO</v>
      </c>
      <c r="D479" s="16" t="s">
        <v>162</v>
      </c>
      <c r="E479" s="14">
        <v>270412014</v>
      </c>
      <c r="F479" s="10" t="s">
        <v>736</v>
      </c>
      <c r="G479" s="1" cm="1">
        <f t="array" ref="G479">+_xlfn.XLOOKUP(Tabla9[[#This Row],[ESPACIO ACADÉMICO DESTINO]]&amp;Tabla9[[#This Row],[PROGRAMA DESTINO]],Tabla49[ESPACIO ACADÉMICO DESTINO]&amp;Tabla49[PROGRAMA],Tabla49[CÓDIGO],"")</f>
        <v>73495</v>
      </c>
      <c r="H479" s="1" t="s">
        <v>488</v>
      </c>
      <c r="I479" s="14" cm="1">
        <f t="array" ref="I479">+_xlfn.XLOOKUP(Tabla9[[#This Row],[ESPACIO ACADÉMICO DESTINO]]&amp;Tabla9[[#This Row],[PROGRAMA DESTINO]],Tabla49[ESPACIO ACADÉMICO DESTINO]&amp;Tabla49[PROGRAMA],Tabla49[CRÉDITOS],"")</f>
        <v>3</v>
      </c>
      <c r="J479" s="14">
        <v>4.5</v>
      </c>
      <c r="K479" s="2" t="s">
        <v>116</v>
      </c>
      <c r="X479" s="52" t="s">
        <v>80</v>
      </c>
      <c r="Y479" s="8">
        <v>50105</v>
      </c>
      <c r="Z479" s="8" t="s">
        <v>737</v>
      </c>
      <c r="AA479" s="8">
        <v>2</v>
      </c>
    </row>
    <row r="480" spans="3:27" ht="30" x14ac:dyDescent="0.25">
      <c r="C480" s="1" t="str">
        <f>_xlfn.XLOOKUP(Tabla9[[#This Row],[PROGRAMA ORIGEN]],PROGRAMAS_N[PROGRAMAS ORIGEN],PROGRAMAS_N[NIVEL],"")</f>
        <v>TECNÓLOGO</v>
      </c>
      <c r="D480" s="16" t="s">
        <v>162</v>
      </c>
      <c r="E480" s="14">
        <v>270412014</v>
      </c>
      <c r="F480" s="10" t="s">
        <v>736</v>
      </c>
      <c r="G480" s="1" cm="1">
        <f t="array" ref="G480">+_xlfn.XLOOKUP(Tabla9[[#This Row],[ESPACIO ACADÉMICO DESTINO]]&amp;Tabla9[[#This Row],[PROGRAMA DESTINO]],Tabla49[ESPACIO ACADÉMICO DESTINO]&amp;Tabla49[PROGRAMA],Tabla49[CÓDIGO],"")</f>
        <v>73506</v>
      </c>
      <c r="H480" s="1" t="s">
        <v>531</v>
      </c>
      <c r="I480" s="14" cm="1">
        <f t="array" ref="I480">+_xlfn.XLOOKUP(Tabla9[[#This Row],[ESPACIO ACADÉMICO DESTINO]]&amp;Tabla9[[#This Row],[PROGRAMA DESTINO]],Tabla49[ESPACIO ACADÉMICO DESTINO]&amp;Tabla49[PROGRAMA],Tabla49[CRÉDITOS],"")</f>
        <v>2</v>
      </c>
      <c r="J480" s="14">
        <v>4.5</v>
      </c>
      <c r="K480" s="2" t="s">
        <v>116</v>
      </c>
      <c r="X480" s="52" t="s">
        <v>80</v>
      </c>
      <c r="Y480" s="8">
        <v>50206</v>
      </c>
      <c r="Z480" s="8" t="s">
        <v>322</v>
      </c>
      <c r="AA480" s="8">
        <v>2</v>
      </c>
    </row>
    <row r="481" spans="3:27" ht="30" x14ac:dyDescent="0.25">
      <c r="C481" s="1" t="str">
        <f>_xlfn.XLOOKUP(Tabla9[[#This Row],[PROGRAMA ORIGEN]],PROGRAMAS_N[PROGRAMAS ORIGEN],PROGRAMAS_N[NIVEL],"")</f>
        <v>TECNÓLOGO</v>
      </c>
      <c r="D481" s="16" t="s">
        <v>162</v>
      </c>
      <c r="E481" s="14">
        <v>270412014</v>
      </c>
      <c r="F481" s="10" t="s">
        <v>736</v>
      </c>
      <c r="G481" s="1" cm="1">
        <f t="array" ref="G481">+_xlfn.XLOOKUP(Tabla9[[#This Row],[ESPACIO ACADÉMICO DESTINO]]&amp;Tabla9[[#This Row],[PROGRAMA DESTINO]],Tabla49[ESPACIO ACADÉMICO DESTINO]&amp;Tabla49[PROGRAMA],Tabla49[CÓDIGO],"")</f>
        <v>16730</v>
      </c>
      <c r="H481" s="1" t="s">
        <v>462</v>
      </c>
      <c r="I481" s="14" cm="1">
        <f t="array" ref="I481">+_xlfn.XLOOKUP(Tabla9[[#This Row],[ESPACIO ACADÉMICO DESTINO]]&amp;Tabla9[[#This Row],[PROGRAMA DESTINO]],Tabla49[ESPACIO ACADÉMICO DESTINO]&amp;Tabla49[PROGRAMA],Tabla49[CRÉDITOS],"")</f>
        <v>2</v>
      </c>
      <c r="J481" s="14">
        <v>4.5</v>
      </c>
      <c r="K481" s="2" t="s">
        <v>116</v>
      </c>
      <c r="X481" s="52" t="s">
        <v>80</v>
      </c>
      <c r="Y481" s="8">
        <v>50805</v>
      </c>
      <c r="Z481" s="8" t="s">
        <v>316</v>
      </c>
      <c r="AA481" s="8">
        <v>3</v>
      </c>
    </row>
    <row r="482" spans="3:27" ht="30" x14ac:dyDescent="0.25">
      <c r="C482" s="1" t="str">
        <f>_xlfn.XLOOKUP(Tabla9[[#This Row],[PROGRAMA ORIGEN]],PROGRAMAS_N[PROGRAMAS ORIGEN],PROGRAMAS_N[NIVEL],"")</f>
        <v>TECNÓLOGO</v>
      </c>
      <c r="D482" s="16" t="s">
        <v>162</v>
      </c>
      <c r="E482" s="14">
        <v>270412014</v>
      </c>
      <c r="F482" s="10" t="s">
        <v>736</v>
      </c>
      <c r="G482" s="1" cm="1">
        <f t="array" ref="G482">+_xlfn.XLOOKUP(Tabla9[[#This Row],[ESPACIO ACADÉMICO DESTINO]]&amp;Tabla9[[#This Row],[PROGRAMA DESTINO]],Tabla49[ESPACIO ACADÉMICO DESTINO]&amp;Tabla49[PROGRAMA],Tabla49[CÓDIGO],"")</f>
        <v>73493</v>
      </c>
      <c r="H482" s="1" t="s">
        <v>482</v>
      </c>
      <c r="I482" s="14" cm="1">
        <f t="array" ref="I482">+_xlfn.XLOOKUP(Tabla9[[#This Row],[ESPACIO ACADÉMICO DESTINO]]&amp;Tabla9[[#This Row],[PROGRAMA DESTINO]],Tabla49[ESPACIO ACADÉMICO DESTINO]&amp;Tabla49[PROGRAMA],Tabla49[CRÉDITOS],"")</f>
        <v>2</v>
      </c>
      <c r="J482" s="14">
        <v>4.5</v>
      </c>
      <c r="K482" s="2" t="s">
        <v>116</v>
      </c>
      <c r="X482" s="52" t="s">
        <v>80</v>
      </c>
      <c r="Y482" s="8">
        <v>56331</v>
      </c>
      <c r="Z482" s="8" t="s">
        <v>366</v>
      </c>
      <c r="AA482" s="8">
        <v>2</v>
      </c>
    </row>
    <row r="483" spans="3:27" ht="30" x14ac:dyDescent="0.25">
      <c r="C483" s="1" t="str">
        <f>_xlfn.XLOOKUP(Tabla9[[#This Row],[PROGRAMA ORIGEN]],PROGRAMAS_N[PROGRAMAS ORIGEN],PROGRAMAS_N[NIVEL],"")</f>
        <v>TECNÓLOGO</v>
      </c>
      <c r="D483" s="16" t="s">
        <v>162</v>
      </c>
      <c r="E483" s="14">
        <v>270601003</v>
      </c>
      <c r="F483" s="10" t="s">
        <v>738</v>
      </c>
      <c r="G483" s="1" cm="1">
        <f t="array" ref="G483">+_xlfn.XLOOKUP(Tabla9[[#This Row],[ESPACIO ACADÉMICO DESTINO]]&amp;Tabla9[[#This Row],[PROGRAMA DESTINO]],Tabla49[ESPACIO ACADÉMICO DESTINO]&amp;Tabla49[PROGRAMA],Tabla49[CÓDIGO],"")</f>
        <v>16734</v>
      </c>
      <c r="H483" s="1" t="s">
        <v>467</v>
      </c>
      <c r="I483" s="14" cm="1">
        <f t="array" ref="I483">+_xlfn.XLOOKUP(Tabla9[[#This Row],[ESPACIO ACADÉMICO DESTINO]]&amp;Tabla9[[#This Row],[PROGRAMA DESTINO]],Tabla49[ESPACIO ACADÉMICO DESTINO]&amp;Tabla49[PROGRAMA],Tabla49[CRÉDITOS],"")</f>
        <v>3</v>
      </c>
      <c r="J483" s="14">
        <v>4.5</v>
      </c>
      <c r="K483" s="2" t="s">
        <v>116</v>
      </c>
      <c r="X483" s="52" t="s">
        <v>80</v>
      </c>
      <c r="Y483" s="8">
        <v>95001</v>
      </c>
      <c r="Z483" s="8" t="s">
        <v>739</v>
      </c>
      <c r="AA483" s="8">
        <v>2</v>
      </c>
    </row>
    <row r="484" spans="3:27" ht="30" x14ac:dyDescent="0.25">
      <c r="C484" s="1" t="str">
        <f>_xlfn.XLOOKUP(Tabla9[[#This Row],[PROGRAMA ORIGEN]],PROGRAMAS_N[PROGRAMAS ORIGEN],PROGRAMAS_N[NIVEL],"")</f>
        <v>TECNÓLOGO</v>
      </c>
      <c r="D484" s="16" t="s">
        <v>162</v>
      </c>
      <c r="E484" s="14">
        <v>270401016</v>
      </c>
      <c r="F484" s="10" t="s">
        <v>740</v>
      </c>
      <c r="G484" s="1" cm="1">
        <f t="array" ref="G484">+_xlfn.XLOOKUP(Tabla9[[#This Row],[ESPACIO ACADÉMICO DESTINO]]&amp;Tabla9[[#This Row],[PROGRAMA DESTINO]],Tabla49[ESPACIO ACADÉMICO DESTINO]&amp;Tabla49[PROGRAMA],Tabla49[CÓDIGO],"")</f>
        <v>73497</v>
      </c>
      <c r="H484" s="1" t="s">
        <v>498</v>
      </c>
      <c r="I484" s="14" cm="1">
        <f t="array" ref="I484">+_xlfn.XLOOKUP(Tabla9[[#This Row],[ESPACIO ACADÉMICO DESTINO]]&amp;Tabla9[[#This Row],[PROGRAMA DESTINO]],Tabla49[ESPACIO ACADÉMICO DESTINO]&amp;Tabla49[PROGRAMA],Tabla49[CRÉDITOS],"")</f>
        <v>2</v>
      </c>
      <c r="J484" s="14">
        <v>4.5</v>
      </c>
      <c r="K484" s="2" t="s">
        <v>116</v>
      </c>
      <c r="X484" s="52" t="s">
        <v>80</v>
      </c>
      <c r="Y484" s="8">
        <v>95002</v>
      </c>
      <c r="Z484" s="8" t="s">
        <v>741</v>
      </c>
      <c r="AA484" s="8">
        <v>0</v>
      </c>
    </row>
    <row r="485" spans="3:27" ht="30" x14ac:dyDescent="0.25">
      <c r="C485" s="1" t="str">
        <f>_xlfn.XLOOKUP(Tabla9[[#This Row],[PROGRAMA ORIGEN]],PROGRAMAS_N[PROGRAMAS ORIGEN],PROGRAMAS_N[NIVEL],"")</f>
        <v>TECNÓLOGO</v>
      </c>
      <c r="D485" s="16" t="s">
        <v>162</v>
      </c>
      <c r="E485" s="14">
        <v>260101016</v>
      </c>
      <c r="F485" s="10" t="s">
        <v>742</v>
      </c>
      <c r="G485" s="1" cm="1">
        <f t="array" ref="G485">+_xlfn.XLOOKUP(Tabla9[[#This Row],[ESPACIO ACADÉMICO DESTINO]]&amp;Tabla9[[#This Row],[PROGRAMA DESTINO]],Tabla49[ESPACIO ACADÉMICO DESTINO]&amp;Tabla49[PROGRAMA],Tabla49[CÓDIGO],"")</f>
        <v>16745</v>
      </c>
      <c r="H485" s="1" t="s">
        <v>502</v>
      </c>
      <c r="I485" s="14" cm="1">
        <f t="array" ref="I485">+_xlfn.XLOOKUP(Tabla9[[#This Row],[ESPACIO ACADÉMICO DESTINO]]&amp;Tabla9[[#This Row],[PROGRAMA DESTINO]],Tabla49[ESPACIO ACADÉMICO DESTINO]&amp;Tabla49[PROGRAMA],Tabla49[CRÉDITOS],"")</f>
        <v>2</v>
      </c>
      <c r="J485" s="14">
        <v>4.5</v>
      </c>
      <c r="K485" s="2" t="s">
        <v>116</v>
      </c>
      <c r="X485" s="52" t="s">
        <v>80</v>
      </c>
      <c r="Y485" s="8">
        <v>50002</v>
      </c>
      <c r="Z485" s="8" t="s">
        <v>743</v>
      </c>
      <c r="AA485" s="8">
        <v>3</v>
      </c>
    </row>
    <row r="486" spans="3:27" ht="30" x14ac:dyDescent="0.25">
      <c r="C486" s="1" t="str">
        <f>_xlfn.XLOOKUP(Tabla9[[#This Row],[PROGRAMA ORIGEN]],PROGRAMAS_N[PROGRAMAS ORIGEN],PROGRAMAS_N[NIVEL],"")</f>
        <v>TECNÓLOGO</v>
      </c>
      <c r="D486" s="16" t="s">
        <v>162</v>
      </c>
      <c r="E486" s="14">
        <v>260101016</v>
      </c>
      <c r="F486" s="10" t="s">
        <v>742</v>
      </c>
      <c r="G486" s="1" cm="1">
        <f t="array" ref="G486">+_xlfn.XLOOKUP(Tabla9[[#This Row],[ESPACIO ACADÉMICO DESTINO]]&amp;Tabla9[[#This Row],[PROGRAMA DESTINO]],Tabla49[ESPACIO ACADÉMICO DESTINO]&amp;Tabla49[PROGRAMA],Tabla49[CÓDIGO],"")</f>
        <v>16588</v>
      </c>
      <c r="H486" s="1" t="s">
        <v>493</v>
      </c>
      <c r="I486" s="14" cm="1">
        <f t="array" ref="I486">+_xlfn.XLOOKUP(Tabla9[[#This Row],[ESPACIO ACADÉMICO DESTINO]]&amp;Tabla9[[#This Row],[PROGRAMA DESTINO]],Tabla49[ESPACIO ACADÉMICO DESTINO]&amp;Tabla49[PROGRAMA],Tabla49[CRÉDITOS],"")</f>
        <v>2</v>
      </c>
      <c r="J486" s="14">
        <v>4.5</v>
      </c>
      <c r="K486" s="2" t="s">
        <v>116</v>
      </c>
      <c r="X486" s="52" t="s">
        <v>80</v>
      </c>
      <c r="Y486" s="8">
        <v>50003</v>
      </c>
      <c r="Z486" s="8" t="s">
        <v>314</v>
      </c>
      <c r="AA486" s="8">
        <v>2</v>
      </c>
    </row>
    <row r="487" spans="3:27" ht="30" x14ac:dyDescent="0.25">
      <c r="C487" s="1" t="str">
        <f>_xlfn.XLOOKUP(Tabla9[[#This Row],[PROGRAMA ORIGEN]],PROGRAMAS_N[PROGRAMAS ORIGEN],PROGRAMAS_N[NIVEL],"")</f>
        <v>TECNÓLOGO</v>
      </c>
      <c r="D487" s="16" t="s">
        <v>162</v>
      </c>
      <c r="E487" s="14">
        <v>260101016</v>
      </c>
      <c r="F487" s="10" t="s">
        <v>742</v>
      </c>
      <c r="G487" s="1" cm="1">
        <f t="array" ref="G487">+_xlfn.XLOOKUP(Tabla9[[#This Row],[ESPACIO ACADÉMICO DESTINO]]&amp;Tabla9[[#This Row],[PROGRAMA DESTINO]],Tabla49[ESPACIO ACADÉMICO DESTINO]&amp;Tabla49[PROGRAMA],Tabla49[CÓDIGO],"")</f>
        <v>73500</v>
      </c>
      <c r="H487" s="1" t="s">
        <v>744</v>
      </c>
      <c r="I487" s="14" cm="1">
        <f t="array" ref="I487">+_xlfn.XLOOKUP(Tabla9[[#This Row],[ESPACIO ACADÉMICO DESTINO]]&amp;Tabla9[[#This Row],[PROGRAMA DESTINO]],Tabla49[ESPACIO ACADÉMICO DESTINO]&amp;Tabla49[PROGRAMA],Tabla49[CRÉDITOS],"")</f>
        <v>3</v>
      </c>
      <c r="J487" s="14">
        <v>4.5</v>
      </c>
      <c r="K487" s="2" t="s">
        <v>116</v>
      </c>
      <c r="X487" s="52" t="s">
        <v>80</v>
      </c>
      <c r="Y487" s="8">
        <v>50004</v>
      </c>
      <c r="Z487" s="8" t="s">
        <v>326</v>
      </c>
      <c r="AA487" s="8">
        <v>2</v>
      </c>
    </row>
    <row r="488" spans="3:27" ht="30" x14ac:dyDescent="0.25">
      <c r="C488" s="1" t="str">
        <f>_xlfn.XLOOKUP(Tabla9[[#This Row],[PROGRAMA ORIGEN]],PROGRAMAS_N[PROGRAMAS ORIGEN],PROGRAMAS_N[NIVEL],"")</f>
        <v>TECNÓLOGO</v>
      </c>
      <c r="D488" s="16" t="s">
        <v>162</v>
      </c>
      <c r="E488" s="14">
        <v>270401015</v>
      </c>
      <c r="F488" s="10" t="s">
        <v>745</v>
      </c>
      <c r="G488" s="1" cm="1">
        <f t="array" ref="G488">+_xlfn.XLOOKUP(Tabla9[[#This Row],[ESPACIO ACADÉMICO DESTINO]]&amp;Tabla9[[#This Row],[PROGRAMA DESTINO]],Tabla49[ESPACIO ACADÉMICO DESTINO]&amp;Tabla49[PROGRAMA],Tabla49[CÓDIGO],"")</f>
        <v>73511</v>
      </c>
      <c r="H488" s="1" t="s">
        <v>746</v>
      </c>
      <c r="I488" s="14" cm="1">
        <f t="array" ref="I488">+_xlfn.XLOOKUP(Tabla9[[#This Row],[ESPACIO ACADÉMICO DESTINO]]&amp;Tabla9[[#This Row],[PROGRAMA DESTINO]],Tabla49[ESPACIO ACADÉMICO DESTINO]&amp;Tabla49[PROGRAMA],Tabla49[CRÉDITOS],"")</f>
        <v>3</v>
      </c>
      <c r="J488" s="14">
        <v>4.5</v>
      </c>
      <c r="K488" s="2" t="s">
        <v>116</v>
      </c>
      <c r="X488" s="52" t="s">
        <v>80</v>
      </c>
      <c r="Y488" s="8">
        <v>50005</v>
      </c>
      <c r="Z488" s="8" t="s">
        <v>747</v>
      </c>
      <c r="AA488" s="8">
        <v>2</v>
      </c>
    </row>
    <row r="489" spans="3:27" ht="30" x14ac:dyDescent="0.25">
      <c r="C489" s="1" t="str">
        <f>_xlfn.XLOOKUP(Tabla9[[#This Row],[PROGRAMA ORIGEN]],PROGRAMAS_N[PROGRAMAS ORIGEN],PROGRAMAS_N[NIVEL],"")</f>
        <v>TECNÓLOGO</v>
      </c>
      <c r="D489" s="16" t="s">
        <v>162</v>
      </c>
      <c r="E489" s="14">
        <v>270401023</v>
      </c>
      <c r="F489" s="10" t="s">
        <v>748</v>
      </c>
      <c r="G489" s="1" cm="1">
        <f t="array" ref="G489">+_xlfn.XLOOKUP(Tabla9[[#This Row],[ESPACIO ACADÉMICO DESTINO]]&amp;Tabla9[[#This Row],[PROGRAMA DESTINO]],Tabla49[ESPACIO ACADÉMICO DESTINO]&amp;Tabla49[PROGRAMA],Tabla49[CÓDIGO],"")</f>
        <v>16542</v>
      </c>
      <c r="H489" s="1" t="s">
        <v>650</v>
      </c>
      <c r="I489" s="14" cm="1">
        <f t="array" ref="I489">+_xlfn.XLOOKUP(Tabla9[[#This Row],[ESPACIO ACADÉMICO DESTINO]]&amp;Tabla9[[#This Row],[PROGRAMA DESTINO]],Tabla49[ESPACIO ACADÉMICO DESTINO]&amp;Tabla49[PROGRAMA],Tabla49[CRÉDITOS],"")</f>
        <v>3</v>
      </c>
      <c r="J489" s="14">
        <v>4.5</v>
      </c>
      <c r="K489" s="2" t="s">
        <v>116</v>
      </c>
      <c r="X489" s="52" t="s">
        <v>80</v>
      </c>
      <c r="Y489" s="8">
        <v>50006</v>
      </c>
      <c r="Z489" s="8" t="s">
        <v>353</v>
      </c>
      <c r="AA489" s="8">
        <v>2</v>
      </c>
    </row>
    <row r="490" spans="3:27" ht="30" x14ac:dyDescent="0.25">
      <c r="C490" s="1" t="str">
        <f>_xlfn.XLOOKUP(Tabla9[[#This Row],[PROGRAMA ORIGEN]],PROGRAMAS_N[PROGRAMAS ORIGEN],PROGRAMAS_N[NIVEL],"")</f>
        <v>TECNÓLOGO</v>
      </c>
      <c r="D490" s="16" t="s">
        <v>162</v>
      </c>
      <c r="E490" s="14" t="s">
        <v>535</v>
      </c>
      <c r="F490" s="10" t="s">
        <v>749</v>
      </c>
      <c r="G490" s="1" cm="1">
        <f t="array" ref="G490">+_xlfn.XLOOKUP(Tabla9[[#This Row],[ESPACIO ACADÉMICO DESTINO]]&amp;Tabla9[[#This Row],[PROGRAMA DESTINO]],Tabla49[ESPACIO ACADÉMICO DESTINO]&amp;Tabla49[PROGRAMA],Tabla49[CÓDIGO],"")</f>
        <v>73505</v>
      </c>
      <c r="H490" s="1" t="s">
        <v>529</v>
      </c>
      <c r="I490" s="14" cm="1">
        <f t="array" ref="I490">+_xlfn.XLOOKUP(Tabla9[[#This Row],[ESPACIO ACADÉMICO DESTINO]]&amp;Tabla9[[#This Row],[PROGRAMA DESTINO]],Tabla49[ESPACIO ACADÉMICO DESTINO]&amp;Tabla49[PROGRAMA],Tabla49[CRÉDITOS],"")</f>
        <v>2</v>
      </c>
      <c r="J490" s="14">
        <v>4.5</v>
      </c>
      <c r="K490" s="2" t="s">
        <v>116</v>
      </c>
      <c r="X490" s="52" t="s">
        <v>80</v>
      </c>
      <c r="Y490" s="8">
        <v>50145</v>
      </c>
      <c r="Z490" s="8" t="s">
        <v>339</v>
      </c>
      <c r="AA490" s="8">
        <v>2</v>
      </c>
    </row>
    <row r="491" spans="3:27" ht="30" x14ac:dyDescent="0.25">
      <c r="C491" s="1" t="str">
        <f>_xlfn.XLOOKUP(Tabla9[[#This Row],[PROGRAMA ORIGEN]],PROGRAMAS_N[PROGRAMAS ORIGEN],PROGRAMAS_N[NIVEL],"")</f>
        <v>TECNÓLOGO</v>
      </c>
      <c r="D491" s="16" t="s">
        <v>162</v>
      </c>
      <c r="E491" s="14">
        <v>270412013</v>
      </c>
      <c r="F491" s="10" t="s">
        <v>750</v>
      </c>
      <c r="G491" s="1" cm="1">
        <f t="array" ref="G491">+_xlfn.XLOOKUP(Tabla9[[#This Row],[ESPACIO ACADÉMICO DESTINO]]&amp;Tabla9[[#This Row],[PROGRAMA DESTINO]],Tabla49[ESPACIO ACADÉMICO DESTINO]&amp;Tabla49[PROGRAMA],Tabla49[CÓDIGO],"")</f>
        <v>73496</v>
      </c>
      <c r="H491" s="1" t="s">
        <v>495</v>
      </c>
      <c r="I491" s="14" cm="1">
        <f t="array" ref="I491">+_xlfn.XLOOKUP(Tabla9[[#This Row],[ESPACIO ACADÉMICO DESTINO]]&amp;Tabla9[[#This Row],[PROGRAMA DESTINO]],Tabla49[ESPACIO ACADÉMICO DESTINO]&amp;Tabla49[PROGRAMA],Tabla49[CRÉDITOS],"")</f>
        <v>3</v>
      </c>
      <c r="J491" s="14">
        <v>4.5</v>
      </c>
      <c r="K491" s="2" t="s">
        <v>116</v>
      </c>
      <c r="X491" s="52" t="s">
        <v>80</v>
      </c>
      <c r="Y491" s="8">
        <v>50205</v>
      </c>
      <c r="Z491" s="8" t="s">
        <v>306</v>
      </c>
      <c r="AA491" s="8">
        <v>2</v>
      </c>
    </row>
    <row r="492" spans="3:27" ht="30" x14ac:dyDescent="0.25">
      <c r="C492" s="1" t="str">
        <f>_xlfn.XLOOKUP(Tabla9[[#This Row],[PROGRAMA ORIGEN]],PROGRAMAS_N[PROGRAMAS ORIGEN],PROGRAMAS_N[NIVEL],"")</f>
        <v>TECNÓLOGO</v>
      </c>
      <c r="D492" s="16" t="s">
        <v>162</v>
      </c>
      <c r="E492" s="14">
        <v>270401020</v>
      </c>
      <c r="F492" s="10" t="s">
        <v>751</v>
      </c>
      <c r="G492" s="1" cm="1">
        <f t="array" ref="G492">+_xlfn.XLOOKUP(Tabla9[[#This Row],[ESPACIO ACADÉMICO DESTINO]]&amp;Tabla9[[#This Row],[PROGRAMA DESTINO]],Tabla49[ESPACIO ACADÉMICO DESTINO]&amp;Tabla49[PROGRAMA],Tabla49[CÓDIGO],"")</f>
        <v>16539</v>
      </c>
      <c r="H492" s="1" t="s">
        <v>643</v>
      </c>
      <c r="I492" s="14" cm="1">
        <f t="array" ref="I492">+_xlfn.XLOOKUP(Tabla9[[#This Row],[ESPACIO ACADÉMICO DESTINO]]&amp;Tabla9[[#This Row],[PROGRAMA DESTINO]],Tabla49[ESPACIO ACADÉMICO DESTINO]&amp;Tabla49[PROGRAMA],Tabla49[CRÉDITOS],"")</f>
        <v>3</v>
      </c>
      <c r="J492" s="14">
        <v>4.5</v>
      </c>
      <c r="K492" s="2" t="s">
        <v>116</v>
      </c>
      <c r="X492" s="52" t="s">
        <v>80</v>
      </c>
      <c r="Y492" s="8">
        <v>95109</v>
      </c>
      <c r="Z492" s="8" t="s">
        <v>752</v>
      </c>
      <c r="AA492" s="8">
        <v>2</v>
      </c>
    </row>
    <row r="493" spans="3:27" ht="30" x14ac:dyDescent="0.25">
      <c r="C493" s="1" t="str">
        <f>_xlfn.XLOOKUP(Tabla9[[#This Row],[PROGRAMA ORIGEN]],PROGRAMAS_N[PROGRAMAS ORIGEN],PROGRAMAS_N[NIVEL],"")</f>
        <v>TECNÓLOGO</v>
      </c>
      <c r="D493" s="16" t="s">
        <v>162</v>
      </c>
      <c r="E493" s="14">
        <v>270401017</v>
      </c>
      <c r="F493" s="10" t="s">
        <v>753</v>
      </c>
      <c r="G493" s="1" cm="1">
        <f t="array" ref="G493">+_xlfn.XLOOKUP(Tabla9[[#This Row],[ESPACIO ACADÉMICO DESTINO]]&amp;Tabla9[[#This Row],[PROGRAMA DESTINO]],Tabla49[ESPACIO ACADÉMICO DESTINO]&amp;Tabla49[PROGRAMA],Tabla49[CÓDIGO],"")</f>
        <v>16540</v>
      </c>
      <c r="H493" s="1" t="s">
        <v>674</v>
      </c>
      <c r="I493" s="14" cm="1">
        <f t="array" ref="I493">+_xlfn.XLOOKUP(Tabla9[[#This Row],[ESPACIO ACADÉMICO DESTINO]]&amp;Tabla9[[#This Row],[PROGRAMA DESTINO]],Tabla49[ESPACIO ACADÉMICO DESTINO]&amp;Tabla49[PROGRAMA],Tabla49[CRÉDITOS],"")</f>
        <v>3</v>
      </c>
      <c r="J493" s="14">
        <v>4.5</v>
      </c>
      <c r="K493" s="2" t="s">
        <v>116</v>
      </c>
      <c r="X493" s="52" t="s">
        <v>80</v>
      </c>
      <c r="Y493" s="8">
        <v>50007</v>
      </c>
      <c r="Z493" s="8" t="s">
        <v>343</v>
      </c>
      <c r="AA493" s="8">
        <v>3</v>
      </c>
    </row>
    <row r="494" spans="3:27" ht="30" x14ac:dyDescent="0.25">
      <c r="C494" s="1" t="str">
        <f>_xlfn.XLOOKUP(Tabla9[[#This Row],[PROGRAMA ORIGEN]],PROGRAMAS_N[PROGRAMAS ORIGEN],PROGRAMAS_N[NIVEL],"")</f>
        <v>TECNÓLOGO</v>
      </c>
      <c r="D494" s="16" t="s">
        <v>71</v>
      </c>
      <c r="E494" s="14">
        <v>270501023</v>
      </c>
      <c r="F494" s="10" t="s">
        <v>670</v>
      </c>
      <c r="G494" s="10" cm="1">
        <f t="array" ref="G494">+_xlfn.XLOOKUP(Tabla9[[#This Row],[ESPACIO ACADÉMICO DESTINO]]&amp;Tabla9[[#This Row],[PROGRAMA DESTINO]],Tabla49[ESPACIO ACADÉMICO DESTINO]&amp;Tabla49[PROGRAMA],Tabla49[CÓDIGO],"")</f>
        <v>16719</v>
      </c>
      <c r="H494" s="10" t="s">
        <v>391</v>
      </c>
      <c r="I494" s="14" cm="1">
        <f t="array" ref="I494">+_xlfn.XLOOKUP(Tabla9[[#This Row],[ESPACIO ACADÉMICO DESTINO]]&amp;Tabla9[[#This Row],[PROGRAMA DESTINO]],Tabla49[ESPACIO ACADÉMICO DESTINO]&amp;Tabla49[PROGRAMA],Tabla49[CRÉDITOS],"")</f>
        <v>2</v>
      </c>
      <c r="J494" s="14">
        <v>4.5</v>
      </c>
      <c r="K494" s="2" t="s">
        <v>116</v>
      </c>
      <c r="X494" s="52" t="s">
        <v>80</v>
      </c>
      <c r="Y494" s="8">
        <v>50008</v>
      </c>
      <c r="Z494" s="8" t="s">
        <v>754</v>
      </c>
      <c r="AA494" s="8">
        <v>2</v>
      </c>
    </row>
    <row r="495" spans="3:27" ht="30" x14ac:dyDescent="0.25">
      <c r="C495" s="1" t="str">
        <f>_xlfn.XLOOKUP(Tabla9[[#This Row],[PROGRAMA ORIGEN]],PROGRAMAS_N[PROGRAMAS ORIGEN],PROGRAMAS_N[NIVEL],"")</f>
        <v>TECNÓLOGO</v>
      </c>
      <c r="D495" s="16" t="s">
        <v>71</v>
      </c>
      <c r="E495" s="14">
        <v>270501023</v>
      </c>
      <c r="F495" s="10" t="s">
        <v>670</v>
      </c>
      <c r="G495" s="10" cm="1">
        <f t="array" ref="G495">+_xlfn.XLOOKUP(Tabla9[[#This Row],[ESPACIO ACADÉMICO DESTINO]]&amp;Tabla9[[#This Row],[PROGRAMA DESTINO]],Tabla49[ESPACIO ACADÉMICO DESTINO]&amp;Tabla49[PROGRAMA],Tabla49[CÓDIGO],"")</f>
        <v>16739</v>
      </c>
      <c r="H495" s="10" t="s">
        <v>500</v>
      </c>
      <c r="I495" s="14" cm="1">
        <f t="array" ref="I495">+_xlfn.XLOOKUP(Tabla9[[#This Row],[ESPACIO ACADÉMICO DESTINO]]&amp;Tabla9[[#This Row],[PROGRAMA DESTINO]],Tabla49[ESPACIO ACADÉMICO DESTINO]&amp;Tabla49[PROGRAMA],Tabla49[CRÉDITOS],"")</f>
        <v>2</v>
      </c>
      <c r="J495" s="14">
        <v>4.5</v>
      </c>
      <c r="K495" s="2" t="s">
        <v>116</v>
      </c>
      <c r="X495" s="52" t="s">
        <v>80</v>
      </c>
      <c r="Y495" s="8">
        <v>50603</v>
      </c>
      <c r="Z495" s="8" t="s">
        <v>755</v>
      </c>
      <c r="AA495" s="8">
        <v>2</v>
      </c>
    </row>
    <row r="496" spans="3:27" ht="30" x14ac:dyDescent="0.25">
      <c r="C496" s="1" t="str">
        <f>_xlfn.XLOOKUP(Tabla9[[#This Row],[PROGRAMA ORIGEN]],PROGRAMAS_N[PROGRAMAS ORIGEN],PROGRAMAS_N[NIVEL],"")</f>
        <v>TECNÓLOGO</v>
      </c>
      <c r="D496" s="16" t="s">
        <v>71</v>
      </c>
      <c r="E496" s="14">
        <v>270501023</v>
      </c>
      <c r="F496" s="10" t="s">
        <v>670</v>
      </c>
      <c r="G496" s="1" cm="1">
        <f t="array" ref="G496">+_xlfn.XLOOKUP(Tabla9[[#This Row],[ESPACIO ACADÉMICO DESTINO]]&amp;Tabla9[[#This Row],[PROGRAMA DESTINO]],Tabla49[ESPACIO ACADÉMICO DESTINO]&amp;Tabla49[PROGRAMA],Tabla49[CÓDIGO],"")</f>
        <v>16745</v>
      </c>
      <c r="H496" s="1" t="s">
        <v>502</v>
      </c>
      <c r="I496" s="14" cm="1">
        <f t="array" ref="I496">+_xlfn.XLOOKUP(Tabla9[[#This Row],[ESPACIO ACADÉMICO DESTINO]]&amp;Tabla9[[#This Row],[PROGRAMA DESTINO]],Tabla49[ESPACIO ACADÉMICO DESTINO]&amp;Tabla49[PROGRAMA],Tabla49[CRÉDITOS],"")</f>
        <v>2</v>
      </c>
      <c r="J496" s="14">
        <v>4.5</v>
      </c>
      <c r="K496" s="2" t="s">
        <v>116</v>
      </c>
      <c r="X496" s="52" t="s">
        <v>80</v>
      </c>
      <c r="Y496" s="8">
        <v>50009</v>
      </c>
      <c r="Z496" s="8" t="s">
        <v>756</v>
      </c>
      <c r="AA496" s="8">
        <v>2</v>
      </c>
    </row>
    <row r="497" spans="3:27" ht="30" x14ac:dyDescent="0.25">
      <c r="C497" s="1" t="str">
        <f>_xlfn.XLOOKUP(Tabla9[[#This Row],[PROGRAMA ORIGEN]],PROGRAMAS_N[PROGRAMAS ORIGEN],PROGRAMAS_N[NIVEL],"")</f>
        <v>TECNÓLOGO</v>
      </c>
      <c r="D497" s="16" t="s">
        <v>71</v>
      </c>
      <c r="E497" s="14">
        <v>270501029</v>
      </c>
      <c r="F497" s="10" t="s">
        <v>626</v>
      </c>
      <c r="G497" s="1" cm="1">
        <f t="array" ref="G497">+_xlfn.XLOOKUP(Tabla9[[#This Row],[ESPACIO ACADÉMICO DESTINO]]&amp;Tabla9[[#This Row],[PROGRAMA DESTINO]],Tabla49[ESPACIO ACADÉMICO DESTINO]&amp;Tabla49[PROGRAMA],Tabla49[CÓDIGO],"")</f>
        <v>16542</v>
      </c>
      <c r="H497" s="1" t="s">
        <v>757</v>
      </c>
      <c r="I497" s="14" cm="1">
        <f t="array" ref="I497">+_xlfn.XLOOKUP(Tabla9[[#This Row],[ESPACIO ACADÉMICO DESTINO]]&amp;Tabla9[[#This Row],[PROGRAMA DESTINO]],Tabla49[ESPACIO ACADÉMICO DESTINO]&amp;Tabla49[PROGRAMA],Tabla49[CRÉDITOS],"")</f>
        <v>3</v>
      </c>
      <c r="J497" s="14">
        <v>4.5</v>
      </c>
      <c r="K497" s="2" t="s">
        <v>116</v>
      </c>
      <c r="X497" s="52" t="s">
        <v>80</v>
      </c>
      <c r="Y497" s="8">
        <v>50011</v>
      </c>
      <c r="Z497" s="8" t="s">
        <v>312</v>
      </c>
      <c r="AA497" s="8">
        <v>2</v>
      </c>
    </row>
    <row r="498" spans="3:27" ht="30" x14ac:dyDescent="0.25">
      <c r="C498" s="1" t="str">
        <f>_xlfn.XLOOKUP(Tabla9[[#This Row],[PROGRAMA ORIGEN]],PROGRAMAS_N[PROGRAMAS ORIGEN],PROGRAMAS_N[NIVEL],"")</f>
        <v>TECNÓLOGO</v>
      </c>
      <c r="D498" s="16" t="s">
        <v>71</v>
      </c>
      <c r="E498" s="14">
        <v>270501029</v>
      </c>
      <c r="F498" s="10" t="s">
        <v>626</v>
      </c>
      <c r="G498" s="1" cm="1">
        <f t="array" ref="G498">+_xlfn.XLOOKUP(Tabla9[[#This Row],[ESPACIO ACADÉMICO DESTINO]]&amp;Tabla9[[#This Row],[PROGRAMA DESTINO]],Tabla49[ESPACIO ACADÉMICO DESTINO]&amp;Tabla49[PROGRAMA],Tabla49[CÓDIGO],"")</f>
        <v>16752</v>
      </c>
      <c r="H498" s="1" t="s">
        <v>537</v>
      </c>
      <c r="I498" s="14" cm="1">
        <f t="array" ref="I498">+_xlfn.XLOOKUP(Tabla9[[#This Row],[ESPACIO ACADÉMICO DESTINO]]&amp;Tabla9[[#This Row],[PROGRAMA DESTINO]],Tabla49[ESPACIO ACADÉMICO DESTINO]&amp;Tabla49[PROGRAMA],Tabla49[CRÉDITOS],"")</f>
        <v>2</v>
      </c>
      <c r="J498" s="14">
        <v>4.5</v>
      </c>
      <c r="K498" s="2" t="s">
        <v>116</v>
      </c>
      <c r="X498" s="52" t="s">
        <v>80</v>
      </c>
      <c r="Y498" s="8">
        <v>50146</v>
      </c>
      <c r="Z498" s="8" t="s">
        <v>758</v>
      </c>
      <c r="AA498" s="8">
        <v>2</v>
      </c>
    </row>
    <row r="499" spans="3:27" ht="30" x14ac:dyDescent="0.25">
      <c r="C499" s="1" t="str">
        <f>_xlfn.XLOOKUP(Tabla9[[#This Row],[PROGRAMA ORIGEN]],PROGRAMAS_N[PROGRAMAS ORIGEN],PROGRAMAS_N[NIVEL],"")</f>
        <v>TECNÓLOGO</v>
      </c>
      <c r="D499" s="16" t="s">
        <v>71</v>
      </c>
      <c r="E499" s="14">
        <v>270501033</v>
      </c>
      <c r="F499" s="10" t="s">
        <v>759</v>
      </c>
      <c r="G499" s="1" cm="1">
        <f t="array" ref="G499">+_xlfn.XLOOKUP(Tabla9[[#This Row],[ESPACIO ACADÉMICO DESTINO]]&amp;Tabla9[[#This Row],[PROGRAMA DESTINO]],Tabla49[ESPACIO ACADÉMICO DESTINO]&amp;Tabla49[PROGRAMA],Tabla49[CÓDIGO],"")</f>
        <v>16740</v>
      </c>
      <c r="H499" s="1" t="s">
        <v>483</v>
      </c>
      <c r="I499" s="14" cm="1">
        <f t="array" ref="I499">+_xlfn.XLOOKUP(Tabla9[[#This Row],[ESPACIO ACADÉMICO DESTINO]]&amp;Tabla9[[#This Row],[PROGRAMA DESTINO]],Tabla49[ESPACIO ACADÉMICO DESTINO]&amp;Tabla49[PROGRAMA],Tabla49[CRÉDITOS],"")</f>
        <v>2</v>
      </c>
      <c r="J499" s="14">
        <v>4.5</v>
      </c>
      <c r="K499" s="2" t="s">
        <v>116</v>
      </c>
      <c r="X499" s="52" t="s">
        <v>80</v>
      </c>
      <c r="Y499" s="8">
        <v>50603</v>
      </c>
      <c r="Z499" s="8" t="s">
        <v>760</v>
      </c>
      <c r="AA499" s="8">
        <v>2</v>
      </c>
    </row>
    <row r="500" spans="3:27" ht="30" x14ac:dyDescent="0.25">
      <c r="C500" s="1" t="str">
        <f>_xlfn.XLOOKUP(Tabla9[[#This Row],[PROGRAMA ORIGEN]],PROGRAMAS_N[PROGRAMAS ORIGEN],PROGRAMAS_N[NIVEL],"")</f>
        <v>TECNÓLOGO</v>
      </c>
      <c r="D500" s="16" t="s">
        <v>71</v>
      </c>
      <c r="E500" s="14">
        <v>270501033</v>
      </c>
      <c r="F500" s="10" t="s">
        <v>759</v>
      </c>
      <c r="G500" s="1" cm="1">
        <f t="array" ref="G500">+_xlfn.XLOOKUP(Tabla9[[#This Row],[ESPACIO ACADÉMICO DESTINO]]&amp;Tabla9[[#This Row],[PROGRAMA DESTINO]],Tabla49[ESPACIO ACADÉMICO DESTINO]&amp;Tabla49[PROGRAMA],Tabla49[CÓDIGO],"")</f>
        <v>16733</v>
      </c>
      <c r="H500" s="1" t="s">
        <v>468</v>
      </c>
      <c r="I500" s="14" cm="1">
        <f t="array" ref="I500">+_xlfn.XLOOKUP(Tabla9[[#This Row],[ESPACIO ACADÉMICO DESTINO]]&amp;Tabla9[[#This Row],[PROGRAMA DESTINO]],Tabla49[ESPACIO ACADÉMICO DESTINO]&amp;Tabla49[PROGRAMA],Tabla49[CRÉDITOS],"")</f>
        <v>3</v>
      </c>
      <c r="J500" s="14">
        <v>4.5</v>
      </c>
      <c r="K500" s="2" t="s">
        <v>116</v>
      </c>
      <c r="X500" s="52" t="s">
        <v>80</v>
      </c>
      <c r="Y500" s="8">
        <v>95110</v>
      </c>
      <c r="Z500" s="8" t="s">
        <v>761</v>
      </c>
      <c r="AA500" s="8">
        <v>2</v>
      </c>
    </row>
    <row r="501" spans="3:27" ht="30" x14ac:dyDescent="0.25">
      <c r="C501" s="1" t="str">
        <f>_xlfn.XLOOKUP(Tabla9[[#This Row],[PROGRAMA ORIGEN]],PROGRAMAS_N[PROGRAMAS ORIGEN],PROGRAMAS_N[NIVEL],"")</f>
        <v>TECNÓLOGO</v>
      </c>
      <c r="D501" s="16" t="s">
        <v>71</v>
      </c>
      <c r="E501" s="14">
        <v>270501033</v>
      </c>
      <c r="F501" s="10" t="s">
        <v>759</v>
      </c>
      <c r="G501" s="1" cm="1">
        <f t="array" ref="G501">+_xlfn.XLOOKUP(Tabla9[[#This Row],[ESPACIO ACADÉMICO DESTINO]]&amp;Tabla9[[#This Row],[PROGRAMA DESTINO]],Tabla49[ESPACIO ACADÉMICO DESTINO]&amp;Tabla49[PROGRAMA],Tabla49[CÓDIGO],"")</f>
        <v>73495</v>
      </c>
      <c r="H501" s="1" t="s">
        <v>488</v>
      </c>
      <c r="I501" s="14" cm="1">
        <f t="array" ref="I501">+_xlfn.XLOOKUP(Tabla9[[#This Row],[ESPACIO ACADÉMICO DESTINO]]&amp;Tabla9[[#This Row],[PROGRAMA DESTINO]],Tabla49[ESPACIO ACADÉMICO DESTINO]&amp;Tabla49[PROGRAMA],Tabla49[CRÉDITOS],"")</f>
        <v>3</v>
      </c>
      <c r="J501" s="14">
        <v>4.5</v>
      </c>
      <c r="K501" s="2" t="s">
        <v>116</v>
      </c>
      <c r="X501" s="52" t="s">
        <v>80</v>
      </c>
      <c r="Y501" s="8">
        <v>50012</v>
      </c>
      <c r="Z501" s="8" t="s">
        <v>762</v>
      </c>
      <c r="AA501" s="8">
        <v>2</v>
      </c>
    </row>
    <row r="502" spans="3:27" ht="30" x14ac:dyDescent="0.25">
      <c r="C502" s="1" t="str">
        <f>_xlfn.XLOOKUP(Tabla9[[#This Row],[PROGRAMA ORIGEN]],PROGRAMAS_N[PROGRAMAS ORIGEN],PROGRAMAS_N[NIVEL],"")</f>
        <v>TECNÓLOGO</v>
      </c>
      <c r="D502" s="16" t="s">
        <v>71</v>
      </c>
      <c r="E502" s="14">
        <v>270501042</v>
      </c>
      <c r="F502" s="10" t="s">
        <v>623</v>
      </c>
      <c r="G502" s="1" cm="1">
        <f t="array" ref="G502">+_xlfn.XLOOKUP(Tabla9[[#This Row],[ESPACIO ACADÉMICO DESTINO]]&amp;Tabla9[[#This Row],[PROGRAMA DESTINO]],Tabla49[ESPACIO ACADÉMICO DESTINO]&amp;Tabla49[PROGRAMA],Tabla49[CÓDIGO],"")</f>
        <v>73494</v>
      </c>
      <c r="H502" s="1" t="s">
        <v>486</v>
      </c>
      <c r="I502" s="14" cm="1">
        <f t="array" ref="I502">+_xlfn.XLOOKUP(Tabla9[[#This Row],[ESPACIO ACADÉMICO DESTINO]]&amp;Tabla9[[#This Row],[PROGRAMA DESTINO]],Tabla49[ESPACIO ACADÉMICO DESTINO]&amp;Tabla49[PROGRAMA],Tabla49[CRÉDITOS],"")</f>
        <v>3</v>
      </c>
      <c r="J502" s="14">
        <v>4.5</v>
      </c>
      <c r="K502" s="2" t="s">
        <v>116</v>
      </c>
      <c r="X502" s="52" t="s">
        <v>80</v>
      </c>
      <c r="Y502" s="8">
        <v>50013</v>
      </c>
      <c r="Z502" s="8" t="s">
        <v>763</v>
      </c>
      <c r="AA502" s="8">
        <v>3</v>
      </c>
    </row>
    <row r="503" spans="3:27" ht="30" x14ac:dyDescent="0.25">
      <c r="C503" s="1" t="str">
        <f>_xlfn.XLOOKUP(Tabla9[[#This Row],[PROGRAMA ORIGEN]],PROGRAMAS_N[PROGRAMAS ORIGEN],PROGRAMAS_N[NIVEL],"")</f>
        <v>TECNÓLOGO</v>
      </c>
      <c r="D503" s="16" t="s">
        <v>71</v>
      </c>
      <c r="E503" s="14">
        <v>270601001</v>
      </c>
      <c r="F503" s="10" t="s">
        <v>624</v>
      </c>
      <c r="G503" s="1" cm="1">
        <f t="array" ref="G503">+_xlfn.XLOOKUP(Tabla9[[#This Row],[ESPACIO ACADÉMICO DESTINO]]&amp;Tabla9[[#This Row],[PROGRAMA DESTINO]],Tabla49[ESPACIO ACADÉMICO DESTINO]&amp;Tabla49[PROGRAMA],Tabla49[CÓDIGO],"")</f>
        <v>73492</v>
      </c>
      <c r="H503" s="1" t="s">
        <v>481</v>
      </c>
      <c r="I503" s="14" cm="1">
        <f t="array" ref="I503">+_xlfn.XLOOKUP(Tabla9[[#This Row],[ESPACIO ACADÉMICO DESTINO]]&amp;Tabla9[[#This Row],[PROGRAMA DESTINO]],Tabla49[ESPACIO ACADÉMICO DESTINO]&amp;Tabla49[PROGRAMA],Tabla49[CRÉDITOS],"")</f>
        <v>2</v>
      </c>
      <c r="J503" s="14">
        <v>4.5</v>
      </c>
      <c r="K503" s="2" t="s">
        <v>116</v>
      </c>
      <c r="X503" s="52" t="s">
        <v>80</v>
      </c>
      <c r="Y503" s="8">
        <v>50014</v>
      </c>
      <c r="Z503" s="8" t="s">
        <v>764</v>
      </c>
      <c r="AA503" s="8">
        <v>3</v>
      </c>
    </row>
    <row r="504" spans="3:27" ht="30" x14ac:dyDescent="0.25">
      <c r="C504" s="1" t="str">
        <f>_xlfn.XLOOKUP(Tabla9[[#This Row],[PROGRAMA ORIGEN]],PROGRAMAS_N[PROGRAMAS ORIGEN],PROGRAMAS_N[NIVEL],"")</f>
        <v>TECNÓLOGO</v>
      </c>
      <c r="D504" s="16" t="s">
        <v>71</v>
      </c>
      <c r="E504" s="14">
        <v>270601001</v>
      </c>
      <c r="F504" s="10" t="s">
        <v>624</v>
      </c>
      <c r="G504" s="1" cm="1">
        <f t="array" ref="G504">+_xlfn.XLOOKUP(Tabla9[[#This Row],[ESPACIO ACADÉMICO DESTINO]]&amp;Tabla9[[#This Row],[PROGRAMA DESTINO]],Tabla49[ESPACIO ACADÉMICO DESTINO]&amp;Tabla49[PROGRAMA],Tabla49[CÓDIGO],"")</f>
        <v>73506</v>
      </c>
      <c r="H504" s="1" t="s">
        <v>531</v>
      </c>
      <c r="I504" s="14" cm="1">
        <f t="array" ref="I504">+_xlfn.XLOOKUP(Tabla9[[#This Row],[ESPACIO ACADÉMICO DESTINO]]&amp;Tabla9[[#This Row],[PROGRAMA DESTINO]],Tabla49[ESPACIO ACADÉMICO DESTINO]&amp;Tabla49[PROGRAMA],Tabla49[CRÉDITOS],"")</f>
        <v>2</v>
      </c>
      <c r="J504" s="14">
        <v>4.5</v>
      </c>
      <c r="K504" s="2" t="s">
        <v>116</v>
      </c>
      <c r="X504" s="52" t="s">
        <v>80</v>
      </c>
      <c r="Y504" s="8">
        <v>50015</v>
      </c>
      <c r="Z504" s="8" t="s">
        <v>765</v>
      </c>
      <c r="AA504" s="8">
        <v>2</v>
      </c>
    </row>
    <row r="505" spans="3:27" ht="45" x14ac:dyDescent="0.25">
      <c r="C505" s="1" t="str">
        <f>_xlfn.XLOOKUP(Tabla9[[#This Row],[PROGRAMA ORIGEN]],PROGRAMAS_N[PROGRAMAS ORIGEN],PROGRAMAS_N[NIVEL],"")</f>
        <v>TECNÓLOGO</v>
      </c>
      <c r="D505" s="16" t="s">
        <v>71</v>
      </c>
      <c r="E505" s="14">
        <v>270601002</v>
      </c>
      <c r="F505" s="10" t="s">
        <v>766</v>
      </c>
      <c r="G505" s="1" cm="1">
        <f t="array" ref="G505">+_xlfn.XLOOKUP(Tabla9[[#This Row],[ESPACIO ACADÉMICO DESTINO]]&amp;Tabla9[[#This Row],[PROGRAMA DESTINO]],Tabla49[ESPACIO ACADÉMICO DESTINO]&amp;Tabla49[PROGRAMA],Tabla49[CÓDIGO],"")</f>
        <v>16539</v>
      </c>
      <c r="H505" s="1" t="s">
        <v>627</v>
      </c>
      <c r="I505" s="14" cm="1">
        <f t="array" ref="I505">+_xlfn.XLOOKUP(Tabla9[[#This Row],[ESPACIO ACADÉMICO DESTINO]]&amp;Tabla9[[#This Row],[PROGRAMA DESTINO]],Tabla49[ESPACIO ACADÉMICO DESTINO]&amp;Tabla49[PROGRAMA],Tabla49[CRÉDITOS],"")</f>
        <v>3</v>
      </c>
      <c r="J505" s="14">
        <v>4.5</v>
      </c>
      <c r="K505" s="2" t="s">
        <v>116</v>
      </c>
      <c r="X505" s="52" t="s">
        <v>80</v>
      </c>
      <c r="Y505" s="8">
        <v>50141</v>
      </c>
      <c r="Z505" s="8" t="s">
        <v>348</v>
      </c>
      <c r="AA505" s="8">
        <v>3</v>
      </c>
    </row>
    <row r="506" spans="3:27" ht="45" x14ac:dyDescent="0.25">
      <c r="C506" s="1" t="str">
        <f>_xlfn.XLOOKUP(Tabla9[[#This Row],[PROGRAMA ORIGEN]],PROGRAMAS_N[PROGRAMAS ORIGEN],PROGRAMAS_N[NIVEL],"")</f>
        <v>TECNÓLOGO</v>
      </c>
      <c r="D506" s="16" t="s">
        <v>71</v>
      </c>
      <c r="E506" s="14">
        <v>270601003</v>
      </c>
      <c r="F506" s="10" t="s">
        <v>629</v>
      </c>
      <c r="G506" s="1" cm="1">
        <f t="array" ref="G506">+_xlfn.XLOOKUP(Tabla9[[#This Row],[ESPACIO ACADÉMICO DESTINO]]&amp;Tabla9[[#This Row],[PROGRAMA DESTINO]],Tabla49[ESPACIO ACADÉMICO DESTINO]&amp;Tabla49[PROGRAMA],Tabla49[CÓDIGO],"")</f>
        <v>16730</v>
      </c>
      <c r="H506" s="1" t="s">
        <v>462</v>
      </c>
      <c r="I506" s="14" cm="1">
        <f t="array" ref="I506">+_xlfn.XLOOKUP(Tabla9[[#This Row],[ESPACIO ACADÉMICO DESTINO]]&amp;Tabla9[[#This Row],[PROGRAMA DESTINO]],Tabla49[ESPACIO ACADÉMICO DESTINO]&amp;Tabla49[PROGRAMA],Tabla49[CRÉDITOS],"")</f>
        <v>2</v>
      </c>
      <c r="J506" s="14">
        <v>4.5</v>
      </c>
      <c r="K506" s="2" t="s">
        <v>116</v>
      </c>
      <c r="X506" s="52" t="s">
        <v>80</v>
      </c>
      <c r="Y506" s="8">
        <v>50408</v>
      </c>
      <c r="Z506" s="8" t="s">
        <v>767</v>
      </c>
      <c r="AA506" s="8">
        <v>2</v>
      </c>
    </row>
    <row r="507" spans="3:27" ht="45" x14ac:dyDescent="0.25">
      <c r="C507" s="1" t="str">
        <f>_xlfn.XLOOKUP(Tabla9[[#This Row],[PROGRAMA ORIGEN]],PROGRAMAS_N[PROGRAMAS ORIGEN],PROGRAMAS_N[NIVEL],"")</f>
        <v>TECNÓLOGO</v>
      </c>
      <c r="D507" s="16" t="s">
        <v>71</v>
      </c>
      <c r="E507" s="14">
        <v>270601003</v>
      </c>
      <c r="F507" s="10" t="s">
        <v>629</v>
      </c>
      <c r="G507" s="1" cm="1">
        <f t="array" ref="G507">+_xlfn.XLOOKUP(Tabla9[[#This Row],[ESPACIO ACADÉMICO DESTINO]]&amp;Tabla9[[#This Row],[PROGRAMA DESTINO]],Tabla49[ESPACIO ACADÉMICO DESTINO]&amp;Tabla49[PROGRAMA],Tabla49[CÓDIGO],"")</f>
        <v>73493</v>
      </c>
      <c r="H507" s="1" t="s">
        <v>482</v>
      </c>
      <c r="I507" s="14" cm="1">
        <f t="array" ref="I507">+_xlfn.XLOOKUP(Tabla9[[#This Row],[ESPACIO ACADÉMICO DESTINO]]&amp;Tabla9[[#This Row],[PROGRAMA DESTINO]],Tabla49[ESPACIO ACADÉMICO DESTINO]&amp;Tabla49[PROGRAMA],Tabla49[CRÉDITOS],"")</f>
        <v>2</v>
      </c>
      <c r="J507" s="14">
        <v>4.5</v>
      </c>
      <c r="K507" s="2" t="s">
        <v>116</v>
      </c>
      <c r="X507" s="52" t="s">
        <v>80</v>
      </c>
      <c r="Y507" s="8">
        <v>95111</v>
      </c>
      <c r="Z507" s="8" t="s">
        <v>768</v>
      </c>
      <c r="AA507" s="8">
        <v>2</v>
      </c>
    </row>
    <row r="508" spans="3:27" ht="45" x14ac:dyDescent="0.25">
      <c r="C508" s="1" t="str">
        <f>_xlfn.XLOOKUP(Tabla9[[#This Row],[PROGRAMA ORIGEN]],PROGRAMAS_N[PROGRAMAS ORIGEN],PROGRAMAS_N[NIVEL],"")</f>
        <v>TECNÓLOGO</v>
      </c>
      <c r="D508" s="16" t="s">
        <v>71</v>
      </c>
      <c r="E508" s="14">
        <v>270601003</v>
      </c>
      <c r="F508" s="10" t="s">
        <v>629</v>
      </c>
      <c r="G508" s="1" cm="1">
        <f t="array" ref="G508">+_xlfn.XLOOKUP(Tabla9[[#This Row],[ESPACIO ACADÉMICO DESTINO]]&amp;Tabla9[[#This Row],[PROGRAMA DESTINO]],Tabla49[ESPACIO ACADÉMICO DESTINO]&amp;Tabla49[PROGRAMA],Tabla49[CÓDIGO],"")</f>
        <v>73507</v>
      </c>
      <c r="H508" s="1" t="s">
        <v>532</v>
      </c>
      <c r="I508" s="14" cm="1">
        <f t="array" ref="I508">+_xlfn.XLOOKUP(Tabla9[[#This Row],[ESPACIO ACADÉMICO DESTINO]]&amp;Tabla9[[#This Row],[PROGRAMA DESTINO]],Tabla49[ESPACIO ACADÉMICO DESTINO]&amp;Tabla49[PROGRAMA],Tabla49[CRÉDITOS],"")</f>
        <v>2</v>
      </c>
      <c r="J508" s="14">
        <v>4.5</v>
      </c>
      <c r="K508" s="2" t="s">
        <v>116</v>
      </c>
      <c r="X508" s="52" t="s">
        <v>80</v>
      </c>
      <c r="Y508" s="8">
        <v>50016</v>
      </c>
      <c r="Z508" s="8" t="s">
        <v>330</v>
      </c>
      <c r="AA508" s="8">
        <v>2</v>
      </c>
    </row>
    <row r="509" spans="3:27" ht="30" x14ac:dyDescent="0.25">
      <c r="C509" s="1" t="str">
        <f>_xlfn.XLOOKUP(Tabla9[[#This Row],[PROGRAMA ORIGEN]],PROGRAMAS_N[PROGRAMAS ORIGEN],PROGRAMAS_N[NIVEL],"")</f>
        <v>TECNÓLOGO</v>
      </c>
      <c r="D509" s="16" t="s">
        <v>71</v>
      </c>
      <c r="E509" s="14">
        <v>270601004</v>
      </c>
      <c r="F509" s="10" t="s">
        <v>633</v>
      </c>
      <c r="G509" s="1" cm="1">
        <f t="array" ref="G509">+_xlfn.XLOOKUP(Tabla9[[#This Row],[ESPACIO ACADÉMICO DESTINO]]&amp;Tabla9[[#This Row],[PROGRAMA DESTINO]],Tabla49[ESPACIO ACADÉMICO DESTINO]&amp;Tabla49[PROGRAMA],Tabla49[CÓDIGO],"")</f>
        <v>73500</v>
      </c>
      <c r="H509" s="1" t="s">
        <v>769</v>
      </c>
      <c r="I509" s="14" cm="1">
        <f t="array" ref="I509">+_xlfn.XLOOKUP(Tabla9[[#This Row],[ESPACIO ACADÉMICO DESTINO]]&amp;Tabla9[[#This Row],[PROGRAMA DESTINO]],Tabla49[ESPACIO ACADÉMICO DESTINO]&amp;Tabla49[PROGRAMA],Tabla49[CRÉDITOS],"")</f>
        <v>3</v>
      </c>
      <c r="J509" s="14">
        <v>4.5</v>
      </c>
      <c r="K509" s="2" t="s">
        <v>116</v>
      </c>
      <c r="X509" s="52" t="s">
        <v>80</v>
      </c>
      <c r="Y509" s="8">
        <v>50017</v>
      </c>
      <c r="Z509" s="8" t="s">
        <v>770</v>
      </c>
      <c r="AA509" s="8">
        <v>2</v>
      </c>
    </row>
    <row r="510" spans="3:27" ht="30" x14ac:dyDescent="0.25">
      <c r="C510" s="1" t="str">
        <f>_xlfn.XLOOKUP(Tabla9[[#This Row],[PROGRAMA ORIGEN]],PROGRAMAS_N[PROGRAMAS ORIGEN],PROGRAMAS_N[NIVEL],"")</f>
        <v>TECNÓLOGO</v>
      </c>
      <c r="D510" s="16" t="s">
        <v>71</v>
      </c>
      <c r="E510" s="14">
        <v>270601005</v>
      </c>
      <c r="F510" s="10" t="s">
        <v>635</v>
      </c>
      <c r="G510" s="1" cm="1">
        <f t="array" ref="G510">+_xlfn.XLOOKUP(Tabla9[[#This Row],[ESPACIO ACADÉMICO DESTINO]]&amp;Tabla9[[#This Row],[PROGRAMA DESTINO]],Tabla49[ESPACIO ACADÉMICO DESTINO]&amp;Tabla49[PROGRAMA],Tabla49[CÓDIGO],"")</f>
        <v>73496</v>
      </c>
      <c r="H510" s="1" t="s">
        <v>495</v>
      </c>
      <c r="I510" s="14" cm="1">
        <f t="array" ref="I510">+_xlfn.XLOOKUP(Tabla9[[#This Row],[ESPACIO ACADÉMICO DESTINO]]&amp;Tabla9[[#This Row],[PROGRAMA DESTINO]],Tabla49[ESPACIO ACADÉMICO DESTINO]&amp;Tabla49[PROGRAMA],Tabla49[CRÉDITOS],"")</f>
        <v>3</v>
      </c>
      <c r="J510" s="14">
        <v>4.5</v>
      </c>
      <c r="K510" s="2" t="s">
        <v>116</v>
      </c>
      <c r="X510" s="52" t="s">
        <v>80</v>
      </c>
      <c r="Y510" s="8">
        <v>50018</v>
      </c>
      <c r="Z510" s="8" t="s">
        <v>771</v>
      </c>
      <c r="AA510" s="8">
        <v>3</v>
      </c>
    </row>
    <row r="511" spans="3:27" ht="30" x14ac:dyDescent="0.25">
      <c r="C511" s="1" t="str">
        <f>_xlfn.XLOOKUP(Tabla9[[#This Row],[PROGRAMA ORIGEN]],PROGRAMAS_N[PROGRAMAS ORIGEN],PROGRAMAS_N[NIVEL],"")</f>
        <v>TECNÓLOGO</v>
      </c>
      <c r="D511" s="16" t="s">
        <v>71</v>
      </c>
      <c r="E511" s="14">
        <v>270601005</v>
      </c>
      <c r="F511" s="10" t="s">
        <v>635</v>
      </c>
      <c r="G511" s="1" cm="1">
        <f t="array" ref="G511">+_xlfn.XLOOKUP(Tabla9[[#This Row],[ESPACIO ACADÉMICO DESTINO]]&amp;Tabla9[[#This Row],[PROGRAMA DESTINO]],Tabla49[ESPACIO ACADÉMICO DESTINO]&amp;Tabla49[PROGRAMA],Tabla49[CÓDIGO],"")</f>
        <v>73504</v>
      </c>
      <c r="H511" s="1" t="s">
        <v>668</v>
      </c>
      <c r="I511" s="14" cm="1">
        <f t="array" ref="I511">+_xlfn.XLOOKUP(Tabla9[[#This Row],[ESPACIO ACADÉMICO DESTINO]]&amp;Tabla9[[#This Row],[PROGRAMA DESTINO]],Tabla49[ESPACIO ACADÉMICO DESTINO]&amp;Tabla49[PROGRAMA],Tabla49[CRÉDITOS],"")</f>
        <v>3</v>
      </c>
      <c r="J511" s="14">
        <v>4.5</v>
      </c>
      <c r="K511" s="2" t="s">
        <v>116</v>
      </c>
      <c r="X511" s="52" t="s">
        <v>80</v>
      </c>
      <c r="Y511" s="8">
        <v>50019</v>
      </c>
      <c r="Z511" s="8" t="s">
        <v>772</v>
      </c>
      <c r="AA511" s="8">
        <v>2</v>
      </c>
    </row>
    <row r="512" spans="3:27" ht="30" x14ac:dyDescent="0.25">
      <c r="C512" s="1" t="str">
        <f>_xlfn.XLOOKUP(Tabla9[[#This Row],[PROGRAMA ORIGEN]],PROGRAMAS_N[PROGRAMAS ORIGEN],PROGRAMAS_N[NIVEL],"")</f>
        <v>TECNÓLOGO</v>
      </c>
      <c r="D512" s="16" t="s">
        <v>71</v>
      </c>
      <c r="E512" s="14">
        <v>270601008</v>
      </c>
      <c r="F512" s="10" t="s">
        <v>773</v>
      </c>
      <c r="G512" s="1" cm="1">
        <f t="array" ref="G512">+_xlfn.XLOOKUP(Tabla9[[#This Row],[ESPACIO ACADÉMICO DESTINO]]&amp;Tabla9[[#This Row],[PROGRAMA DESTINO]],Tabla49[ESPACIO ACADÉMICO DESTINO]&amp;Tabla49[PROGRAMA],Tabla49[CÓDIGO],"")</f>
        <v>16541</v>
      </c>
      <c r="H512" s="1" t="s">
        <v>774</v>
      </c>
      <c r="I512" s="14" cm="1">
        <f t="array" ref="I512">+_xlfn.XLOOKUP(Tabla9[[#This Row],[ESPACIO ACADÉMICO DESTINO]]&amp;Tabla9[[#This Row],[PROGRAMA DESTINO]],Tabla49[ESPACIO ACADÉMICO DESTINO]&amp;Tabla49[PROGRAMA],Tabla49[CRÉDITOS],"")</f>
        <v>3</v>
      </c>
      <c r="J512" s="14">
        <v>4.5</v>
      </c>
      <c r="K512" s="2" t="s">
        <v>116</v>
      </c>
      <c r="X512" s="52" t="s">
        <v>80</v>
      </c>
      <c r="Y512" s="8">
        <v>50020</v>
      </c>
      <c r="Z512" s="8" t="s">
        <v>775</v>
      </c>
      <c r="AA512" s="8">
        <v>2</v>
      </c>
    </row>
    <row r="513" spans="3:27" ht="30" x14ac:dyDescent="0.25">
      <c r="C513" s="1" t="str">
        <f>_xlfn.XLOOKUP(Tabla9[[#This Row],[PROGRAMA ORIGEN]],PROGRAMAS_N[PROGRAMAS ORIGEN],PROGRAMAS_N[NIVEL],"")</f>
        <v>TECNÓLOGO</v>
      </c>
      <c r="D513" s="16" t="s">
        <v>71</v>
      </c>
      <c r="E513" s="14">
        <v>270601008</v>
      </c>
      <c r="F513" s="10" t="s">
        <v>773</v>
      </c>
      <c r="G513" s="1" cm="1">
        <f t="array" ref="G513">+_xlfn.XLOOKUP(Tabla9[[#This Row],[ESPACIO ACADÉMICO DESTINO]]&amp;Tabla9[[#This Row],[PROGRAMA DESTINO]],Tabla49[ESPACIO ACADÉMICO DESTINO]&amp;Tabla49[PROGRAMA],Tabla49[CÓDIGO],"")</f>
        <v>16540</v>
      </c>
      <c r="H513" s="1" t="s">
        <v>631</v>
      </c>
      <c r="I513" s="14" cm="1">
        <f t="array" ref="I513">+_xlfn.XLOOKUP(Tabla9[[#This Row],[ESPACIO ACADÉMICO DESTINO]]&amp;Tabla9[[#This Row],[PROGRAMA DESTINO]],Tabla49[ESPACIO ACADÉMICO DESTINO]&amp;Tabla49[PROGRAMA],Tabla49[CRÉDITOS],"")</f>
        <v>3</v>
      </c>
      <c r="J513" s="14">
        <v>4.5</v>
      </c>
      <c r="K513" s="2" t="s">
        <v>116</v>
      </c>
      <c r="X513" s="52" t="s">
        <v>80</v>
      </c>
      <c r="Y513" s="8">
        <v>50183</v>
      </c>
      <c r="Z513" s="8" t="s">
        <v>336</v>
      </c>
      <c r="AA513" s="8">
        <v>3</v>
      </c>
    </row>
    <row r="514" spans="3:27" ht="30" x14ac:dyDescent="0.25">
      <c r="C514" s="1" t="str">
        <f>_xlfn.XLOOKUP(Tabla9[[#This Row],[PROGRAMA ORIGEN]],PROGRAMAS_N[PROGRAMAS ORIGEN],PROGRAMAS_N[NIVEL],"")</f>
        <v>TECNÓLOGO</v>
      </c>
      <c r="D514" s="16" t="s">
        <v>71</v>
      </c>
      <c r="E514" s="14">
        <v>270601008</v>
      </c>
      <c r="F514" s="10" t="s">
        <v>773</v>
      </c>
      <c r="G514" s="1" cm="1">
        <f t="array" ref="G514">+_xlfn.XLOOKUP(Tabla9[[#This Row],[ESPACIO ACADÉMICO DESTINO]]&amp;Tabla9[[#This Row],[PROGRAMA DESTINO]],Tabla49[ESPACIO ACADÉMICO DESTINO]&amp;Tabla49[PROGRAMA],Tabla49[CÓDIGO],"")</f>
        <v>73502</v>
      </c>
      <c r="H514" s="1" t="s">
        <v>520</v>
      </c>
      <c r="I514" s="14" cm="1">
        <f t="array" ref="I514">+_xlfn.XLOOKUP(Tabla9[[#This Row],[ESPACIO ACADÉMICO DESTINO]]&amp;Tabla9[[#This Row],[PROGRAMA DESTINO]],Tabla49[ESPACIO ACADÉMICO DESTINO]&amp;Tabla49[PROGRAMA],Tabla49[CRÉDITOS],"")</f>
        <v>2</v>
      </c>
      <c r="J514" s="14">
        <v>4.5</v>
      </c>
      <c r="K514" s="2" t="s">
        <v>116</v>
      </c>
      <c r="X514" s="52" t="s">
        <v>80</v>
      </c>
      <c r="Y514" s="8">
        <v>50409</v>
      </c>
      <c r="Z514" s="8" t="s">
        <v>776</v>
      </c>
      <c r="AA514" s="8">
        <v>2</v>
      </c>
    </row>
    <row r="515" spans="3:27" ht="30" x14ac:dyDescent="0.25">
      <c r="C515" s="1" t="str">
        <f>_xlfn.XLOOKUP(Tabla9[[#This Row],[PROGRAMA ORIGEN]],PROGRAMAS_N[PROGRAMAS ORIGEN],PROGRAMAS_N[NIVEL],"")</f>
        <v>TECNÓLOGO</v>
      </c>
      <c r="D515" s="16" t="s">
        <v>222</v>
      </c>
      <c r="E515" s="14">
        <v>230101031</v>
      </c>
      <c r="F515" s="10" t="s">
        <v>777</v>
      </c>
      <c r="G515" s="10" cm="1">
        <f t="array" ref="G515">+_xlfn.XLOOKUP(Tabla9[[#This Row],[ESPACIO ACADÉMICO DESTINO]]&amp;Tabla9[[#This Row],[PROGRAMA DESTINO]],Tabla49[ESPACIO ACADÉMICO DESTINO]&amp;Tabla49[PROGRAMA],Tabla49[CÓDIGO],"")</f>
        <v>16540</v>
      </c>
      <c r="H515" s="10" t="s">
        <v>674</v>
      </c>
      <c r="I515" s="14" cm="1">
        <f t="array" ref="I515">+_xlfn.XLOOKUP(Tabla9[[#This Row],[ESPACIO ACADÉMICO DESTINO]]&amp;Tabla9[[#This Row],[PROGRAMA DESTINO]],Tabla49[ESPACIO ACADÉMICO DESTINO]&amp;Tabla49[PROGRAMA],Tabla49[CRÉDITOS],"")</f>
        <v>3</v>
      </c>
      <c r="J515" s="14">
        <v>4.5</v>
      </c>
      <c r="K515" s="2" t="s">
        <v>116</v>
      </c>
      <c r="X515" s="52" t="s">
        <v>80</v>
      </c>
      <c r="Y515" s="8">
        <v>50021</v>
      </c>
      <c r="Z515" s="8" t="s">
        <v>324</v>
      </c>
      <c r="AA515" s="8">
        <v>3</v>
      </c>
    </row>
    <row r="516" spans="3:27" ht="30" x14ac:dyDescent="0.25">
      <c r="C516" s="1" t="str">
        <f>_xlfn.XLOOKUP(Tabla9[[#This Row],[PROGRAMA ORIGEN]],PROGRAMAS_N[PROGRAMAS ORIGEN],PROGRAMAS_N[NIVEL],"")</f>
        <v>TECNÓLOGO</v>
      </c>
      <c r="D516" s="16" t="s">
        <v>222</v>
      </c>
      <c r="E516" s="14">
        <v>230101031</v>
      </c>
      <c r="F516" s="10" t="s">
        <v>777</v>
      </c>
      <c r="G516" s="1" cm="1">
        <f t="array" ref="G516">+_xlfn.XLOOKUP(Tabla9[[#This Row],[ESPACIO ACADÉMICO DESTINO]]&amp;Tabla9[[#This Row],[PROGRAMA DESTINO]],Tabla49[ESPACIO ACADÉMICO DESTINO]&amp;Tabla49[PROGRAMA],Tabla49[CÓDIGO],"")</f>
        <v>73502</v>
      </c>
      <c r="H516" s="1" t="s">
        <v>520</v>
      </c>
      <c r="I516" s="14" cm="1">
        <f t="array" ref="I516">+_xlfn.XLOOKUP(Tabla9[[#This Row],[ESPACIO ACADÉMICO DESTINO]]&amp;Tabla9[[#This Row],[PROGRAMA DESTINO]],Tabla49[ESPACIO ACADÉMICO DESTINO]&amp;Tabla49[PROGRAMA],Tabla49[CRÉDITOS],"")</f>
        <v>2</v>
      </c>
      <c r="J516" s="14">
        <v>4.5</v>
      </c>
      <c r="K516" s="2" t="s">
        <v>116</v>
      </c>
      <c r="X516" s="52" t="s">
        <v>80</v>
      </c>
      <c r="Y516" s="8">
        <v>50022</v>
      </c>
      <c r="Z516" s="8" t="s">
        <v>778</v>
      </c>
      <c r="AA516" s="8">
        <v>3</v>
      </c>
    </row>
    <row r="517" spans="3:27" ht="30" x14ac:dyDescent="0.25">
      <c r="C517" s="1" t="str">
        <f>_xlfn.XLOOKUP(Tabla9[[#This Row],[PROGRAMA ORIGEN]],PROGRAMAS_N[PROGRAMAS ORIGEN],PROGRAMAS_N[NIVEL],"")</f>
        <v>TECNÓLOGO</v>
      </c>
      <c r="D517" s="16" t="s">
        <v>222</v>
      </c>
      <c r="E517" s="14">
        <v>260101002</v>
      </c>
      <c r="F517" s="10" t="s">
        <v>779</v>
      </c>
      <c r="G517" s="1" cm="1">
        <f t="array" ref="G517">+_xlfn.XLOOKUP(Tabla9[[#This Row],[ESPACIO ACADÉMICO DESTINO]]&amp;Tabla9[[#This Row],[PROGRAMA DESTINO]],Tabla49[ESPACIO ACADÉMICO DESTINO]&amp;Tabla49[PROGRAMA],Tabla49[CÓDIGO],"")</f>
        <v>16540</v>
      </c>
      <c r="H517" s="1" t="s">
        <v>780</v>
      </c>
      <c r="I517" s="14" cm="1">
        <f t="array" ref="I517">+_xlfn.XLOOKUP(Tabla9[[#This Row],[ESPACIO ACADÉMICO DESTINO]]&amp;Tabla9[[#This Row],[PROGRAMA DESTINO]],Tabla49[ESPACIO ACADÉMICO DESTINO]&amp;Tabla49[PROGRAMA],Tabla49[CRÉDITOS],"")</f>
        <v>3</v>
      </c>
      <c r="J517" s="14">
        <v>4.5</v>
      </c>
      <c r="K517" s="2" t="s">
        <v>116</v>
      </c>
      <c r="X517" s="52" t="s">
        <v>80</v>
      </c>
      <c r="Y517" s="8">
        <v>50023</v>
      </c>
      <c r="Z517" s="8" t="s">
        <v>361</v>
      </c>
      <c r="AA517" s="8">
        <v>2</v>
      </c>
    </row>
    <row r="518" spans="3:27" ht="30" x14ac:dyDescent="0.25">
      <c r="C518" s="1" t="str">
        <f>_xlfn.XLOOKUP(Tabla9[[#This Row],[PROGRAMA ORIGEN]],PROGRAMAS_N[PROGRAMAS ORIGEN],PROGRAMAS_N[NIVEL],"")</f>
        <v>TECNÓLOGO</v>
      </c>
      <c r="D518" s="16" t="s">
        <v>222</v>
      </c>
      <c r="E518" s="14">
        <v>270501030</v>
      </c>
      <c r="F518" s="10" t="s">
        <v>626</v>
      </c>
      <c r="G518" s="1" cm="1">
        <f t="array" ref="G518">+_xlfn.XLOOKUP(Tabla9[[#This Row],[ESPACIO ACADÉMICO DESTINO]]&amp;Tabla9[[#This Row],[PROGRAMA DESTINO]],Tabla49[ESPACIO ACADÉMICO DESTINO]&amp;Tabla49[PROGRAMA],Tabla49[CÓDIGO],"")</f>
        <v>16539</v>
      </c>
      <c r="H518" s="1" t="s">
        <v>679</v>
      </c>
      <c r="I518" s="14" cm="1">
        <f t="array" ref="I518">+_xlfn.XLOOKUP(Tabla9[[#This Row],[ESPACIO ACADÉMICO DESTINO]]&amp;Tabla9[[#This Row],[PROGRAMA DESTINO]],Tabla49[ESPACIO ACADÉMICO DESTINO]&amp;Tabla49[PROGRAMA],Tabla49[CRÉDITOS],"")</f>
        <v>3</v>
      </c>
      <c r="J518" s="14">
        <v>4.5</v>
      </c>
      <c r="K518" s="2" t="s">
        <v>116</v>
      </c>
      <c r="X518" s="52" t="s">
        <v>80</v>
      </c>
      <c r="Y518" s="8">
        <v>50024</v>
      </c>
      <c r="Z518" s="8" t="s">
        <v>781</v>
      </c>
      <c r="AA518" s="8">
        <v>2</v>
      </c>
    </row>
    <row r="519" spans="3:27" ht="30" x14ac:dyDescent="0.25">
      <c r="C519" s="1" t="str">
        <f>_xlfn.XLOOKUP(Tabla9[[#This Row],[PROGRAMA ORIGEN]],PROGRAMAS_N[PROGRAMAS ORIGEN],PROGRAMAS_N[NIVEL],"")</f>
        <v>TECNÓLOGO</v>
      </c>
      <c r="D519" s="16" t="s">
        <v>222</v>
      </c>
      <c r="E519" s="14">
        <v>270501030</v>
      </c>
      <c r="F519" s="10" t="s">
        <v>626</v>
      </c>
      <c r="G519" s="1" cm="1">
        <f t="array" ref="G519">+_xlfn.XLOOKUP(Tabla9[[#This Row],[ESPACIO ACADÉMICO DESTINO]]&amp;Tabla9[[#This Row],[PROGRAMA DESTINO]],Tabla49[ESPACIO ACADÉMICO DESTINO]&amp;Tabla49[PROGRAMA],Tabla49[CÓDIGO],"")</f>
        <v>73495</v>
      </c>
      <c r="H519" s="1" t="s">
        <v>488</v>
      </c>
      <c r="I519" s="14" cm="1">
        <f t="array" ref="I519">+_xlfn.XLOOKUP(Tabla9[[#This Row],[ESPACIO ACADÉMICO DESTINO]]&amp;Tabla9[[#This Row],[PROGRAMA DESTINO]],Tabla49[ESPACIO ACADÉMICO DESTINO]&amp;Tabla49[PROGRAMA],Tabla49[CRÉDITOS],"")</f>
        <v>3</v>
      </c>
      <c r="J519" s="14">
        <v>4.5</v>
      </c>
      <c r="K519" s="2" t="s">
        <v>116</v>
      </c>
      <c r="X519" s="52" t="s">
        <v>80</v>
      </c>
      <c r="Y519" s="8">
        <v>50140</v>
      </c>
      <c r="Z519" s="8" t="s">
        <v>782</v>
      </c>
      <c r="AA519" s="8">
        <v>2</v>
      </c>
    </row>
    <row r="520" spans="3:27" ht="30" x14ac:dyDescent="0.25">
      <c r="C520" s="1" t="str">
        <f>_xlfn.XLOOKUP(Tabla9[[#This Row],[PROGRAMA ORIGEN]],PROGRAMAS_N[PROGRAMAS ORIGEN],PROGRAMAS_N[NIVEL],"")</f>
        <v>TECNÓLOGO</v>
      </c>
      <c r="D520" s="16" t="s">
        <v>222</v>
      </c>
      <c r="E520" s="14">
        <v>270501032</v>
      </c>
      <c r="F520" s="10" t="s">
        <v>783</v>
      </c>
      <c r="G520" s="1" cm="1">
        <f t="array" ref="G520">+_xlfn.XLOOKUP(Tabla9[[#This Row],[ESPACIO ACADÉMICO DESTINO]]&amp;Tabla9[[#This Row],[PROGRAMA DESTINO]],Tabla49[ESPACIO ACADÉMICO DESTINO]&amp;Tabla49[PROGRAMA],Tabla49[CÓDIGO],"")</f>
        <v>16734</v>
      </c>
      <c r="H520" s="1" t="s">
        <v>467</v>
      </c>
      <c r="I520" s="14" cm="1">
        <f t="array" ref="I520">+_xlfn.XLOOKUP(Tabla9[[#This Row],[ESPACIO ACADÉMICO DESTINO]]&amp;Tabla9[[#This Row],[PROGRAMA DESTINO]],Tabla49[ESPACIO ACADÉMICO DESTINO]&amp;Tabla49[PROGRAMA],Tabla49[CRÉDITOS],"")</f>
        <v>3</v>
      </c>
      <c r="J520" s="14">
        <v>4.5</v>
      </c>
      <c r="K520" s="2" t="s">
        <v>116</v>
      </c>
      <c r="X520" s="52" t="s">
        <v>80</v>
      </c>
      <c r="Y520" s="8">
        <v>50148</v>
      </c>
      <c r="Z520" s="8" t="s">
        <v>784</v>
      </c>
      <c r="AA520" s="8">
        <v>2</v>
      </c>
    </row>
    <row r="521" spans="3:27" ht="30" x14ac:dyDescent="0.25">
      <c r="C521" s="1" t="str">
        <f>_xlfn.XLOOKUP(Tabla9[[#This Row],[PROGRAMA ORIGEN]],PROGRAMAS_N[PROGRAMAS ORIGEN],PROGRAMAS_N[NIVEL],"")</f>
        <v>TECNÓLOGO</v>
      </c>
      <c r="D521" s="16" t="s">
        <v>222</v>
      </c>
      <c r="E521" s="14">
        <v>270501032</v>
      </c>
      <c r="F521" s="10" t="s">
        <v>783</v>
      </c>
      <c r="G521" s="1" cm="1">
        <f t="array" ref="G521">+_xlfn.XLOOKUP(Tabla9[[#This Row],[ESPACIO ACADÉMICO DESTINO]]&amp;Tabla9[[#This Row],[PROGRAMA DESTINO]],Tabla49[ESPACIO ACADÉMICO DESTINO]&amp;Tabla49[PROGRAMA],Tabla49[CÓDIGO],"")</f>
        <v>73492</v>
      </c>
      <c r="H521" s="1" t="s">
        <v>481</v>
      </c>
      <c r="I521" s="14" cm="1">
        <f t="array" ref="I521">+_xlfn.XLOOKUP(Tabla9[[#This Row],[ESPACIO ACADÉMICO DESTINO]]&amp;Tabla9[[#This Row],[PROGRAMA DESTINO]],Tabla49[ESPACIO ACADÉMICO DESTINO]&amp;Tabla49[PROGRAMA],Tabla49[CRÉDITOS],"")</f>
        <v>2</v>
      </c>
      <c r="J521" s="14">
        <v>4.5</v>
      </c>
      <c r="K521" s="2" t="s">
        <v>116</v>
      </c>
      <c r="X521" s="52" t="s">
        <v>80</v>
      </c>
      <c r="Y521" s="8">
        <v>50702</v>
      </c>
      <c r="Z521" s="8" t="s">
        <v>785</v>
      </c>
      <c r="AA521" s="8">
        <v>2</v>
      </c>
    </row>
    <row r="522" spans="3:27" ht="60" x14ac:dyDescent="0.25">
      <c r="C522" s="1" t="str">
        <f>_xlfn.XLOOKUP(Tabla9[[#This Row],[PROGRAMA ORIGEN]],PROGRAMAS_N[PROGRAMAS ORIGEN],PROGRAMAS_N[NIVEL],"")</f>
        <v>TECNÓLOGO</v>
      </c>
      <c r="D522" s="16" t="s">
        <v>222</v>
      </c>
      <c r="E522" s="14">
        <v>270501042</v>
      </c>
      <c r="F522" s="10" t="s">
        <v>786</v>
      </c>
      <c r="G522" s="1" cm="1">
        <f t="array" ref="G522">+_xlfn.XLOOKUP(Tabla9[[#This Row],[ESPACIO ACADÉMICO DESTINO]]&amp;Tabla9[[#This Row],[PROGRAMA DESTINO]],Tabla49[ESPACIO ACADÉMICO DESTINO]&amp;Tabla49[PROGRAMA],Tabla49[CÓDIGO],"")</f>
        <v>16741</v>
      </c>
      <c r="H522" s="1" t="s">
        <v>472</v>
      </c>
      <c r="I522" s="14" cm="1">
        <f t="array" ref="I522">+_xlfn.XLOOKUP(Tabla9[[#This Row],[ESPACIO ACADÉMICO DESTINO]]&amp;Tabla9[[#This Row],[PROGRAMA DESTINO]],Tabla49[ESPACIO ACADÉMICO DESTINO]&amp;Tabla49[PROGRAMA],Tabla49[CRÉDITOS],"")</f>
        <v>2</v>
      </c>
      <c r="J522" s="14">
        <v>4.5</v>
      </c>
      <c r="K522" s="2" t="s">
        <v>116</v>
      </c>
      <c r="X522" s="52" t="s">
        <v>80</v>
      </c>
      <c r="Y522" s="8">
        <v>50025</v>
      </c>
      <c r="Z522" s="8" t="s">
        <v>787</v>
      </c>
      <c r="AA522" s="8">
        <v>2</v>
      </c>
    </row>
    <row r="523" spans="3:27" ht="60" x14ac:dyDescent="0.25">
      <c r="C523" s="1" t="str">
        <f>_xlfn.XLOOKUP(Tabla9[[#This Row],[PROGRAMA ORIGEN]],PROGRAMAS_N[PROGRAMAS ORIGEN],PROGRAMAS_N[NIVEL],"")</f>
        <v>TECNÓLOGO</v>
      </c>
      <c r="D523" s="16" t="s">
        <v>222</v>
      </c>
      <c r="E523" s="14">
        <v>270501042</v>
      </c>
      <c r="F523" s="10" t="s">
        <v>786</v>
      </c>
      <c r="G523" s="1" cm="1">
        <f t="array" ref="G523">+_xlfn.XLOOKUP(Tabla9[[#This Row],[ESPACIO ACADÉMICO DESTINO]]&amp;Tabla9[[#This Row],[PROGRAMA DESTINO]],Tabla49[ESPACIO ACADÉMICO DESTINO]&amp;Tabla49[PROGRAMA],Tabla49[CÓDIGO],"")</f>
        <v>73494</v>
      </c>
      <c r="H523" s="1" t="s">
        <v>486</v>
      </c>
      <c r="I523" s="14" cm="1">
        <f t="array" ref="I523">+_xlfn.XLOOKUP(Tabla9[[#This Row],[ESPACIO ACADÉMICO DESTINO]]&amp;Tabla9[[#This Row],[PROGRAMA DESTINO]],Tabla49[ESPACIO ACADÉMICO DESTINO]&amp;Tabla49[PROGRAMA],Tabla49[CRÉDITOS],"")</f>
        <v>3</v>
      </c>
      <c r="J523" s="14">
        <v>4.5</v>
      </c>
      <c r="K523" s="2" t="s">
        <v>116</v>
      </c>
      <c r="X523" s="52" t="s">
        <v>80</v>
      </c>
      <c r="Y523" s="8">
        <v>50026</v>
      </c>
      <c r="Z523" s="8" t="s">
        <v>351</v>
      </c>
      <c r="AA523" s="8">
        <v>3</v>
      </c>
    </row>
    <row r="524" spans="3:27" ht="30" x14ac:dyDescent="0.25">
      <c r="C524" s="1" t="str">
        <f>_xlfn.XLOOKUP(Tabla9[[#This Row],[PROGRAMA ORIGEN]],PROGRAMAS_N[PROGRAMAS ORIGEN],PROGRAMAS_N[NIVEL],"")</f>
        <v>TECNÓLOGO</v>
      </c>
      <c r="D524" s="16" t="s">
        <v>222</v>
      </c>
      <c r="E524" s="14">
        <v>270501040</v>
      </c>
      <c r="F524" s="10" t="s">
        <v>788</v>
      </c>
      <c r="G524" s="1" cm="1">
        <f t="array" ref="G524">+_xlfn.XLOOKUP(Tabla9[[#This Row],[ESPACIO ACADÉMICO DESTINO]]&amp;Tabla9[[#This Row],[PROGRAMA DESTINO]],Tabla49[ESPACIO ACADÉMICO DESTINO]&amp;Tabla49[PROGRAMA],Tabla49[CÓDIGO],"")</f>
        <v>16737</v>
      </c>
      <c r="H524" s="1" t="s">
        <v>476</v>
      </c>
      <c r="I524" s="14" cm="1">
        <f t="array" ref="I524">+_xlfn.XLOOKUP(Tabla9[[#This Row],[ESPACIO ACADÉMICO DESTINO]]&amp;Tabla9[[#This Row],[PROGRAMA DESTINO]],Tabla49[ESPACIO ACADÉMICO DESTINO]&amp;Tabla49[PROGRAMA],Tabla49[CRÉDITOS],"")</f>
        <v>3</v>
      </c>
      <c r="J524" s="14">
        <v>4.5</v>
      </c>
      <c r="K524" s="2" t="s">
        <v>116</v>
      </c>
      <c r="X524" s="52" t="s">
        <v>80</v>
      </c>
      <c r="Y524" s="8">
        <v>50210</v>
      </c>
      <c r="Z524" s="8" t="s">
        <v>789</v>
      </c>
      <c r="AA524" s="8">
        <v>3</v>
      </c>
    </row>
    <row r="525" spans="3:27" ht="30" x14ac:dyDescent="0.25">
      <c r="C525" s="1" t="str">
        <f>_xlfn.XLOOKUP(Tabla9[[#This Row],[PROGRAMA ORIGEN]],PROGRAMAS_N[PROGRAMAS ORIGEN],PROGRAMAS_N[NIVEL],"")</f>
        <v>TECNÓLOGO</v>
      </c>
      <c r="D525" s="16" t="s">
        <v>222</v>
      </c>
      <c r="E525" s="14">
        <v>270501040</v>
      </c>
      <c r="F525" s="10" t="s">
        <v>788</v>
      </c>
      <c r="G525" s="1" cm="1">
        <f t="array" ref="G525">+_xlfn.XLOOKUP(Tabla9[[#This Row],[ESPACIO ACADÉMICO DESTINO]]&amp;Tabla9[[#This Row],[PROGRAMA DESTINO]],Tabla49[ESPACIO ACADÉMICO DESTINO]&amp;Tabla49[PROGRAMA],Tabla49[CÓDIGO],"")</f>
        <v>16730</v>
      </c>
      <c r="H525" s="1" t="s">
        <v>462</v>
      </c>
      <c r="I525" s="14" cm="1">
        <f t="array" ref="I525">+_xlfn.XLOOKUP(Tabla9[[#This Row],[ESPACIO ACADÉMICO DESTINO]]&amp;Tabla9[[#This Row],[PROGRAMA DESTINO]],Tabla49[ESPACIO ACADÉMICO DESTINO]&amp;Tabla49[PROGRAMA],Tabla49[CRÉDITOS],"")</f>
        <v>2</v>
      </c>
      <c r="J525" s="14">
        <v>4.5</v>
      </c>
      <c r="K525" s="2" t="s">
        <v>116</v>
      </c>
      <c r="X525" s="52" t="s">
        <v>80</v>
      </c>
      <c r="Y525" s="8">
        <v>50301</v>
      </c>
      <c r="Z525" s="8" t="s">
        <v>790</v>
      </c>
      <c r="AA525" s="8">
        <v>3</v>
      </c>
    </row>
    <row r="526" spans="3:27" ht="45" x14ac:dyDescent="0.25">
      <c r="C526" s="1" t="str">
        <f>_xlfn.XLOOKUP(Tabla9[[#This Row],[PROGRAMA ORIGEN]],PROGRAMAS_N[PROGRAMAS ORIGEN],PROGRAMAS_N[NIVEL],"")</f>
        <v>TECNÓLOGO</v>
      </c>
      <c r="D526" s="16" t="s">
        <v>222</v>
      </c>
      <c r="E526" s="14">
        <v>270501033</v>
      </c>
      <c r="F526" s="10" t="s">
        <v>791</v>
      </c>
      <c r="G526" s="1" cm="1">
        <f t="array" ref="G526">+_xlfn.XLOOKUP(Tabla9[[#This Row],[ESPACIO ACADÉMICO DESTINO]]&amp;Tabla9[[#This Row],[PROGRAMA DESTINO]],Tabla49[ESPACIO ACADÉMICO DESTINO]&amp;Tabla49[PROGRAMA],Tabla49[CÓDIGO],"")</f>
        <v>16733</v>
      </c>
      <c r="H526" s="1" t="s">
        <v>468</v>
      </c>
      <c r="I526" s="14" cm="1">
        <f t="array" ref="I526">+_xlfn.XLOOKUP(Tabla9[[#This Row],[ESPACIO ACADÉMICO DESTINO]]&amp;Tabla9[[#This Row],[PROGRAMA DESTINO]],Tabla49[ESPACIO ACADÉMICO DESTINO]&amp;Tabla49[PROGRAMA],Tabla49[CRÉDITOS],"")</f>
        <v>3</v>
      </c>
      <c r="J526" s="14">
        <v>4.5</v>
      </c>
      <c r="K526" s="2" t="s">
        <v>116</v>
      </c>
      <c r="X526" s="52" t="s">
        <v>80</v>
      </c>
      <c r="Y526" s="8">
        <v>50302</v>
      </c>
      <c r="Z526" s="8" t="s">
        <v>318</v>
      </c>
      <c r="AA526" s="8">
        <v>2</v>
      </c>
    </row>
    <row r="527" spans="3:27" ht="45" x14ac:dyDescent="0.25">
      <c r="C527" s="1" t="str">
        <f>_xlfn.XLOOKUP(Tabla9[[#This Row],[PROGRAMA ORIGEN]],PROGRAMAS_N[PROGRAMAS ORIGEN],PROGRAMAS_N[NIVEL],"")</f>
        <v>TECNÓLOGO</v>
      </c>
      <c r="D527" s="16" t="s">
        <v>222</v>
      </c>
      <c r="E527" s="14">
        <v>270501033</v>
      </c>
      <c r="F527" s="10" t="s">
        <v>791</v>
      </c>
      <c r="G527" s="1" cm="1">
        <f t="array" ref="G527">+_xlfn.XLOOKUP(Tabla9[[#This Row],[ESPACIO ACADÉMICO DESTINO]]&amp;Tabla9[[#This Row],[PROGRAMA DESTINO]],Tabla49[ESPACIO ACADÉMICO DESTINO]&amp;Tabla49[PROGRAMA],Tabla49[CÓDIGO],"")</f>
        <v>16740</v>
      </c>
      <c r="H527" s="1" t="s">
        <v>483</v>
      </c>
      <c r="I527" s="14" cm="1">
        <f t="array" ref="I527">+_xlfn.XLOOKUP(Tabla9[[#This Row],[ESPACIO ACADÉMICO DESTINO]]&amp;Tabla9[[#This Row],[PROGRAMA DESTINO]],Tabla49[ESPACIO ACADÉMICO DESTINO]&amp;Tabla49[PROGRAMA],Tabla49[CRÉDITOS],"")</f>
        <v>2</v>
      </c>
      <c r="J527" s="14">
        <v>4.5</v>
      </c>
      <c r="K527" s="2" t="s">
        <v>116</v>
      </c>
      <c r="X527" s="52" t="s">
        <v>80</v>
      </c>
      <c r="Y527" s="8">
        <v>95112</v>
      </c>
      <c r="Z527" s="8" t="s">
        <v>792</v>
      </c>
      <c r="AA527" s="8">
        <v>2</v>
      </c>
    </row>
    <row r="528" spans="3:27" ht="30" x14ac:dyDescent="0.25">
      <c r="C528" s="1" t="str">
        <f>_xlfn.XLOOKUP(Tabla9[[#This Row],[PROGRAMA ORIGEN]],PROGRAMAS_N[PROGRAMAS ORIGEN],PROGRAMAS_N[NIVEL],"")</f>
        <v>TECNÓLOGO</v>
      </c>
      <c r="D528" s="16" t="s">
        <v>222</v>
      </c>
      <c r="E528" s="14">
        <v>270501028</v>
      </c>
      <c r="F528" s="10" t="s">
        <v>793</v>
      </c>
      <c r="G528" s="1" cm="1">
        <f t="array" ref="G528">+_xlfn.XLOOKUP(Tabla9[[#This Row],[ESPACIO ACADÉMICO DESTINO]]&amp;Tabla9[[#This Row],[PROGRAMA DESTINO]],Tabla49[ESPACIO ACADÉMICO DESTINO]&amp;Tabla49[PROGRAMA],Tabla49[CÓDIGO],"")</f>
        <v>16752</v>
      </c>
      <c r="H528" s="1" t="s">
        <v>537</v>
      </c>
      <c r="I528" s="14" cm="1">
        <f t="array" ref="I528">+_xlfn.XLOOKUP(Tabla9[[#This Row],[ESPACIO ACADÉMICO DESTINO]]&amp;Tabla9[[#This Row],[PROGRAMA DESTINO]],Tabla49[ESPACIO ACADÉMICO DESTINO]&amp;Tabla49[PROGRAMA],Tabla49[CRÉDITOS],"")</f>
        <v>2</v>
      </c>
      <c r="J528" s="14">
        <v>4.5</v>
      </c>
      <c r="K528" s="2" t="s">
        <v>116</v>
      </c>
      <c r="X528" s="52" t="s">
        <v>80</v>
      </c>
      <c r="Y528" s="8">
        <v>50602</v>
      </c>
      <c r="Z528" s="8" t="s">
        <v>794</v>
      </c>
      <c r="AA528" s="8">
        <v>2</v>
      </c>
    </row>
    <row r="529" spans="3:27" ht="45" x14ac:dyDescent="0.25">
      <c r="C529" s="1" t="str">
        <f>_xlfn.XLOOKUP(Tabla9[[#This Row],[PROGRAMA ORIGEN]],PROGRAMAS_N[PROGRAMAS ORIGEN],PROGRAMAS_N[NIVEL],"")</f>
        <v>TECNÓLOGO</v>
      </c>
      <c r="D529" s="16" t="s">
        <v>222</v>
      </c>
      <c r="E529" s="14">
        <v>270501041</v>
      </c>
      <c r="F529" s="10" t="s">
        <v>795</v>
      </c>
      <c r="G529" s="1" cm="1">
        <f t="array" ref="G529">+_xlfn.XLOOKUP(Tabla9[[#This Row],[ESPACIO ACADÉMICO DESTINO]]&amp;Tabla9[[#This Row],[PROGRAMA DESTINO]],Tabla49[ESPACIO ACADÉMICO DESTINO]&amp;Tabla49[PROGRAMA],Tabla49[CÓDIGO],"")</f>
        <v>73496</v>
      </c>
      <c r="H529" s="1" t="s">
        <v>495</v>
      </c>
      <c r="I529" s="14" cm="1">
        <f t="array" ref="I529">+_xlfn.XLOOKUP(Tabla9[[#This Row],[ESPACIO ACADÉMICO DESTINO]]&amp;Tabla9[[#This Row],[PROGRAMA DESTINO]],Tabla49[ESPACIO ACADÉMICO DESTINO]&amp;Tabla49[PROGRAMA],Tabla49[CRÉDITOS],"")</f>
        <v>3</v>
      </c>
      <c r="J529" s="14">
        <v>4.5</v>
      </c>
      <c r="K529" s="2" t="s">
        <v>116</v>
      </c>
      <c r="X529" s="52" t="s">
        <v>80</v>
      </c>
      <c r="Y529" s="8">
        <v>50606</v>
      </c>
      <c r="Z529" s="8" t="s">
        <v>479</v>
      </c>
      <c r="AA529" s="8">
        <v>2</v>
      </c>
    </row>
    <row r="530" spans="3:27" ht="45" x14ac:dyDescent="0.25">
      <c r="C530" s="1" t="str">
        <f>_xlfn.XLOOKUP(Tabla9[[#This Row],[PROGRAMA ORIGEN]],PROGRAMAS_N[PROGRAMAS ORIGEN],PROGRAMAS_N[NIVEL],"")</f>
        <v>TECNÓLOGO</v>
      </c>
      <c r="D530" s="16" t="s">
        <v>222</v>
      </c>
      <c r="E530" s="14">
        <v>270501041</v>
      </c>
      <c r="F530" s="10" t="s">
        <v>795</v>
      </c>
      <c r="G530" s="1" cm="1">
        <f t="array" ref="G530">+_xlfn.XLOOKUP(Tabla9[[#This Row],[ESPACIO ACADÉMICO DESTINO]]&amp;Tabla9[[#This Row],[PROGRAMA DESTINO]],Tabla49[ESPACIO ACADÉMICO DESTINO]&amp;Tabla49[PROGRAMA],Tabla49[CÓDIGO],"")</f>
        <v>73493</v>
      </c>
      <c r="H530" s="1" t="s">
        <v>482</v>
      </c>
      <c r="I530" s="14" cm="1">
        <f t="array" ref="I530">+_xlfn.XLOOKUP(Tabla9[[#This Row],[ESPACIO ACADÉMICO DESTINO]]&amp;Tabla9[[#This Row],[PROGRAMA DESTINO]],Tabla49[ESPACIO ACADÉMICO DESTINO]&amp;Tabla49[PROGRAMA],Tabla49[CRÉDITOS],"")</f>
        <v>2</v>
      </c>
      <c r="J530" s="14">
        <v>4.5</v>
      </c>
      <c r="K530" s="2" t="s">
        <v>116</v>
      </c>
      <c r="X530" s="52" t="s">
        <v>80</v>
      </c>
      <c r="Y530" s="8">
        <v>50801</v>
      </c>
      <c r="Z530" s="8" t="s">
        <v>796</v>
      </c>
      <c r="AA530" s="8">
        <v>3</v>
      </c>
    </row>
    <row r="531" spans="3:27" ht="30" x14ac:dyDescent="0.25">
      <c r="C531" s="1" t="str">
        <f>_xlfn.XLOOKUP(Tabla9[[#This Row],[PROGRAMA ORIGEN]],PROGRAMAS_N[PROGRAMAS ORIGEN],PROGRAMAS_N[NIVEL],"")</f>
        <v>TECNÓLOGO</v>
      </c>
      <c r="D531" s="16" t="s">
        <v>222</v>
      </c>
      <c r="E531" s="14">
        <v>270501017</v>
      </c>
      <c r="F531" s="10" t="s">
        <v>797</v>
      </c>
      <c r="G531" s="1" cm="1">
        <f t="array" ref="G531">+_xlfn.XLOOKUP(Tabla9[[#This Row],[ESPACIO ACADÉMICO DESTINO]]&amp;Tabla9[[#This Row],[PROGRAMA DESTINO]],Tabla49[ESPACIO ACADÉMICO DESTINO]&amp;Tabla49[PROGRAMA],Tabla49[CÓDIGO],"")</f>
        <v>16753</v>
      </c>
      <c r="H531" s="1" t="s">
        <v>539</v>
      </c>
      <c r="I531" s="14" cm="1">
        <f t="array" ref="I531">+_xlfn.XLOOKUP(Tabla9[[#This Row],[ESPACIO ACADÉMICO DESTINO]]&amp;Tabla9[[#This Row],[PROGRAMA DESTINO]],Tabla49[ESPACIO ACADÉMICO DESTINO]&amp;Tabla49[PROGRAMA],Tabla49[CRÉDITOS],"")</f>
        <v>2</v>
      </c>
      <c r="J531" s="14">
        <v>4.5</v>
      </c>
      <c r="K531" s="2" t="s">
        <v>116</v>
      </c>
      <c r="X531" s="52" t="s">
        <v>80</v>
      </c>
      <c r="Y531" s="8">
        <v>50802</v>
      </c>
      <c r="Z531" s="8" t="s">
        <v>798</v>
      </c>
      <c r="AA531" s="8">
        <v>3</v>
      </c>
    </row>
    <row r="532" spans="3:27" ht="30" x14ac:dyDescent="0.25">
      <c r="C532" s="1" t="str">
        <f>_xlfn.XLOOKUP(Tabla9[[#This Row],[PROGRAMA ORIGEN]],PROGRAMAS_N[PROGRAMAS ORIGEN],PROGRAMAS_N[NIVEL],"")</f>
        <v>TECNÓLOGO</v>
      </c>
      <c r="D532" s="16" t="s">
        <v>226</v>
      </c>
      <c r="E532" s="14">
        <v>270501023</v>
      </c>
      <c r="F532" s="10" t="s">
        <v>670</v>
      </c>
      <c r="G532" s="10" cm="1">
        <f t="array" ref="G532">+_xlfn.XLOOKUP(Tabla9[[#This Row],[ESPACIO ACADÉMICO DESTINO]]&amp;Tabla9[[#This Row],[PROGRAMA DESTINO]],Tabla49[ESPACIO ACADÉMICO DESTINO]&amp;Tabla49[PROGRAMA],Tabla49[CÓDIGO],"")</f>
        <v>73495</v>
      </c>
      <c r="H532" s="10" t="s">
        <v>488</v>
      </c>
      <c r="I532" s="14" cm="1">
        <f t="array" ref="I532">+_xlfn.XLOOKUP(Tabla9[[#This Row],[ESPACIO ACADÉMICO DESTINO]]&amp;Tabla9[[#This Row],[PROGRAMA DESTINO]],Tabla49[ESPACIO ACADÉMICO DESTINO]&amp;Tabla49[PROGRAMA],Tabla49[CRÉDITOS],"")</f>
        <v>3</v>
      </c>
      <c r="J532" s="14">
        <v>4.5</v>
      </c>
      <c r="K532" s="2" t="s">
        <v>116</v>
      </c>
      <c r="X532" s="52" t="s">
        <v>80</v>
      </c>
      <c r="Y532" s="8">
        <v>50905</v>
      </c>
      <c r="Z532" s="8" t="s">
        <v>217</v>
      </c>
      <c r="AA532" s="8">
        <v>3</v>
      </c>
    </row>
    <row r="533" spans="3:27" ht="30" x14ac:dyDescent="0.25">
      <c r="C533" s="1" t="str">
        <f>_xlfn.XLOOKUP(Tabla9[[#This Row],[PROGRAMA ORIGEN]],PROGRAMAS_N[PROGRAMAS ORIGEN],PROGRAMAS_N[NIVEL],"")</f>
        <v>TECNÓLOGO</v>
      </c>
      <c r="D533" s="16" t="s">
        <v>226</v>
      </c>
      <c r="E533" s="14">
        <v>270501023</v>
      </c>
      <c r="F533" s="10" t="s">
        <v>670</v>
      </c>
      <c r="G533" s="1" cm="1">
        <f t="array" ref="G533">+_xlfn.XLOOKUP(Tabla9[[#This Row],[ESPACIO ACADÉMICO DESTINO]]&amp;Tabla9[[#This Row],[PROGRAMA DESTINO]],Tabla49[ESPACIO ACADÉMICO DESTINO]&amp;Tabla49[PROGRAMA],Tabla49[CÓDIGO],"")</f>
        <v>16719</v>
      </c>
      <c r="H533" s="1" t="s">
        <v>391</v>
      </c>
      <c r="I533" s="14" cm="1">
        <f t="array" ref="I533">+_xlfn.XLOOKUP(Tabla9[[#This Row],[ESPACIO ACADÉMICO DESTINO]]&amp;Tabla9[[#This Row],[PROGRAMA DESTINO]],Tabla49[ESPACIO ACADÉMICO DESTINO]&amp;Tabla49[PROGRAMA],Tabla49[CRÉDITOS],"")</f>
        <v>2</v>
      </c>
      <c r="J533" s="14">
        <v>4.5</v>
      </c>
      <c r="K533" s="2" t="s">
        <v>116</v>
      </c>
      <c r="X533" s="52" t="s">
        <v>80</v>
      </c>
      <c r="Y533" s="8">
        <v>50177</v>
      </c>
      <c r="Z533" s="8" t="s">
        <v>799</v>
      </c>
      <c r="AA533" s="8">
        <v>9</v>
      </c>
    </row>
    <row r="534" spans="3:27" ht="30" x14ac:dyDescent="0.25">
      <c r="C534" s="1" t="str">
        <f>_xlfn.XLOOKUP(Tabla9[[#This Row],[PROGRAMA ORIGEN]],PROGRAMAS_N[PROGRAMAS ORIGEN],PROGRAMAS_N[NIVEL],"")</f>
        <v>TECNÓLOGO</v>
      </c>
      <c r="D534" s="16" t="s">
        <v>226</v>
      </c>
      <c r="E534" s="14">
        <v>270501040</v>
      </c>
      <c r="F534" s="10" t="s">
        <v>800</v>
      </c>
      <c r="G534" s="1" cm="1">
        <f t="array" ref="G534">+_xlfn.XLOOKUP(Tabla9[[#This Row],[ESPACIO ACADÉMICO DESTINO]]&amp;Tabla9[[#This Row],[PROGRAMA DESTINO]],Tabla49[ESPACIO ACADÉMICO DESTINO]&amp;Tabla49[PROGRAMA],Tabla49[CÓDIGO],"")</f>
        <v>16734</v>
      </c>
      <c r="H534" s="1" t="s">
        <v>467</v>
      </c>
      <c r="I534" s="14" cm="1">
        <f t="array" ref="I534">+_xlfn.XLOOKUP(Tabla9[[#This Row],[ESPACIO ACADÉMICO DESTINO]]&amp;Tabla9[[#This Row],[PROGRAMA DESTINO]],Tabla49[ESPACIO ACADÉMICO DESTINO]&amp;Tabla49[PROGRAMA],Tabla49[CRÉDITOS],"")</f>
        <v>3</v>
      </c>
      <c r="J534" s="14">
        <v>4.5</v>
      </c>
      <c r="K534" s="2" t="s">
        <v>116</v>
      </c>
      <c r="X534" s="52" t="s">
        <v>80</v>
      </c>
      <c r="Y534" s="8">
        <v>50703</v>
      </c>
      <c r="Z534" s="8" t="s">
        <v>524</v>
      </c>
      <c r="AA534" s="8">
        <v>2</v>
      </c>
    </row>
    <row r="535" spans="3:27" ht="30" x14ac:dyDescent="0.25">
      <c r="C535" s="1" t="str">
        <f>_xlfn.XLOOKUP(Tabla9[[#This Row],[PROGRAMA ORIGEN]],PROGRAMAS_N[PROGRAMAS ORIGEN],PROGRAMAS_N[NIVEL],"")</f>
        <v>TECNÓLOGO</v>
      </c>
      <c r="D535" s="16" t="s">
        <v>226</v>
      </c>
      <c r="E535" s="14">
        <v>270501040</v>
      </c>
      <c r="F535" s="10" t="s">
        <v>800</v>
      </c>
      <c r="G535" s="1" cm="1">
        <f t="array" ref="G535">+_xlfn.XLOOKUP(Tabla9[[#This Row],[ESPACIO ACADÉMICO DESTINO]]&amp;Tabla9[[#This Row],[PROGRAMA DESTINO]],Tabla49[ESPACIO ACADÉMICO DESTINO]&amp;Tabla49[PROGRAMA],Tabla49[CÓDIGO],"")</f>
        <v>73493</v>
      </c>
      <c r="H535" s="1" t="s">
        <v>482</v>
      </c>
      <c r="I535" s="14" cm="1">
        <f t="array" ref="I535">+_xlfn.XLOOKUP(Tabla9[[#This Row],[ESPACIO ACADÉMICO DESTINO]]&amp;Tabla9[[#This Row],[PROGRAMA DESTINO]],Tabla49[ESPACIO ACADÉMICO DESTINO]&amp;Tabla49[PROGRAMA],Tabla49[CRÉDITOS],"")</f>
        <v>2</v>
      </c>
      <c r="J535" s="14">
        <v>4.5</v>
      </c>
      <c r="K535" s="2" t="s">
        <v>116</v>
      </c>
      <c r="X535" s="52" t="s">
        <v>80</v>
      </c>
      <c r="Y535" s="8">
        <v>50706</v>
      </c>
      <c r="Z535" s="8" t="s">
        <v>514</v>
      </c>
      <c r="AA535" s="8">
        <v>2</v>
      </c>
    </row>
    <row r="536" spans="3:27" ht="45" x14ac:dyDescent="0.25">
      <c r="C536" s="1" t="str">
        <f>_xlfn.XLOOKUP(Tabla9[[#This Row],[PROGRAMA ORIGEN]],PROGRAMAS_N[PROGRAMAS ORIGEN],PROGRAMAS_N[NIVEL],"")</f>
        <v>TECNÓLOGO</v>
      </c>
      <c r="D536" s="16" t="s">
        <v>226</v>
      </c>
      <c r="E536" s="14">
        <v>270501032</v>
      </c>
      <c r="F536" s="10" t="s">
        <v>801</v>
      </c>
      <c r="G536" s="1" cm="1">
        <f t="array" ref="G536">+_xlfn.XLOOKUP(Tabla9[[#This Row],[ESPACIO ACADÉMICO DESTINO]]&amp;Tabla9[[#This Row],[PROGRAMA DESTINO]],Tabla49[ESPACIO ACADÉMICO DESTINO]&amp;Tabla49[PROGRAMA],Tabla49[CÓDIGO],"")</f>
        <v>16539</v>
      </c>
      <c r="H536" s="1" t="s">
        <v>643</v>
      </c>
      <c r="I536" s="14" cm="1">
        <f t="array" ref="I536">+_xlfn.XLOOKUP(Tabla9[[#This Row],[ESPACIO ACADÉMICO DESTINO]]&amp;Tabla9[[#This Row],[PROGRAMA DESTINO]],Tabla49[ESPACIO ACADÉMICO DESTINO]&amp;Tabla49[PROGRAMA],Tabla49[CRÉDITOS],"")</f>
        <v>3</v>
      </c>
      <c r="J536" s="14">
        <v>4.5</v>
      </c>
      <c r="K536" s="2" t="s">
        <v>116</v>
      </c>
      <c r="X536" s="52" t="s">
        <v>80</v>
      </c>
      <c r="Y536" s="8">
        <v>50900</v>
      </c>
      <c r="Z536" s="8" t="s">
        <v>307</v>
      </c>
      <c r="AA536" s="8">
        <v>3</v>
      </c>
    </row>
    <row r="537" spans="3:27" ht="45" x14ac:dyDescent="0.25">
      <c r="C537" s="1" t="str">
        <f>_xlfn.XLOOKUP(Tabla9[[#This Row],[PROGRAMA ORIGEN]],PROGRAMAS_N[PROGRAMAS ORIGEN],PROGRAMAS_N[NIVEL],"")</f>
        <v>TECNÓLOGO</v>
      </c>
      <c r="D537" s="16" t="s">
        <v>226</v>
      </c>
      <c r="E537" s="14">
        <v>270501032</v>
      </c>
      <c r="F537" s="10" t="s">
        <v>801</v>
      </c>
      <c r="G537" s="1" cm="1">
        <f t="array" ref="G537">+_xlfn.XLOOKUP(Tabla9[[#This Row],[ESPACIO ACADÉMICO DESTINO]]&amp;Tabla9[[#This Row],[PROGRAMA DESTINO]],Tabla49[ESPACIO ACADÉMICO DESTINO]&amp;Tabla49[PROGRAMA],Tabla49[CÓDIGO],"")</f>
        <v>73492</v>
      </c>
      <c r="H537" s="1" t="s">
        <v>481</v>
      </c>
      <c r="I537" s="14" cm="1">
        <f t="array" ref="I537">+_xlfn.XLOOKUP(Tabla9[[#This Row],[ESPACIO ACADÉMICO DESTINO]]&amp;Tabla9[[#This Row],[PROGRAMA DESTINO]],Tabla49[ESPACIO ACADÉMICO DESTINO]&amp;Tabla49[PROGRAMA],Tabla49[CRÉDITOS],"")</f>
        <v>2</v>
      </c>
      <c r="J537" s="14">
        <v>4.5</v>
      </c>
      <c r="K537" s="2" t="s">
        <v>116</v>
      </c>
      <c r="X537" s="52" t="s">
        <v>85</v>
      </c>
      <c r="Y537" s="8">
        <v>96111</v>
      </c>
      <c r="Z537" s="8" t="s">
        <v>247</v>
      </c>
      <c r="AA537" s="8">
        <v>3</v>
      </c>
    </row>
    <row r="538" spans="3:27" ht="60" x14ac:dyDescent="0.25">
      <c r="C538" s="1" t="str">
        <f>_xlfn.XLOOKUP(Tabla9[[#This Row],[PROGRAMA ORIGEN]],PROGRAMAS_N[PROGRAMAS ORIGEN],PROGRAMAS_N[NIVEL],"")</f>
        <v>TECNÓLOGO</v>
      </c>
      <c r="D538" s="16" t="s">
        <v>226</v>
      </c>
      <c r="E538" s="14">
        <v>270501041</v>
      </c>
      <c r="F538" s="10" t="s">
        <v>802</v>
      </c>
      <c r="G538" s="1" cm="1">
        <f t="array" ref="G538">+_xlfn.XLOOKUP(Tabla9[[#This Row],[ESPACIO ACADÉMICO DESTINO]]&amp;Tabla9[[#This Row],[PROGRAMA DESTINO]],Tabla49[ESPACIO ACADÉMICO DESTINO]&amp;Tabla49[PROGRAMA],Tabla49[CÓDIGO],"")</f>
        <v>73496</v>
      </c>
      <c r="H538" s="1" t="s">
        <v>495</v>
      </c>
      <c r="I538" s="14" cm="1">
        <f t="array" ref="I538">+_xlfn.XLOOKUP(Tabla9[[#This Row],[ESPACIO ACADÉMICO DESTINO]]&amp;Tabla9[[#This Row],[PROGRAMA DESTINO]],Tabla49[ESPACIO ACADÉMICO DESTINO]&amp;Tabla49[PROGRAMA],Tabla49[CRÉDITOS],"")</f>
        <v>3</v>
      </c>
      <c r="J538" s="14">
        <v>4.5</v>
      </c>
      <c r="K538" s="2" t="s">
        <v>116</v>
      </c>
      <c r="X538" s="52" t="s">
        <v>85</v>
      </c>
      <c r="Y538" s="8">
        <v>15005</v>
      </c>
      <c r="Z538" s="8" t="s">
        <v>803</v>
      </c>
      <c r="AA538" s="8">
        <v>3</v>
      </c>
    </row>
    <row r="539" spans="3:27" ht="60" x14ac:dyDescent="0.25">
      <c r="C539" s="1" t="str">
        <f>_xlfn.XLOOKUP(Tabla9[[#This Row],[PROGRAMA ORIGEN]],PROGRAMAS_N[PROGRAMAS ORIGEN],PROGRAMAS_N[NIVEL],"")</f>
        <v>TECNÓLOGO</v>
      </c>
      <c r="D539" s="16" t="s">
        <v>226</v>
      </c>
      <c r="E539" s="14">
        <v>270501041</v>
      </c>
      <c r="F539" s="10" t="s">
        <v>802</v>
      </c>
      <c r="G539" s="1" cm="1">
        <f t="array" ref="G539">+_xlfn.XLOOKUP(Tabla9[[#This Row],[ESPACIO ACADÉMICO DESTINO]]&amp;Tabla9[[#This Row],[PROGRAMA DESTINO]],Tabla49[ESPACIO ACADÉMICO DESTINO]&amp;Tabla49[PROGRAMA],Tabla49[CÓDIGO],"")</f>
        <v>73506</v>
      </c>
      <c r="H539" s="1" t="s">
        <v>531</v>
      </c>
      <c r="I539" s="14" cm="1">
        <f t="array" ref="I539">+_xlfn.XLOOKUP(Tabla9[[#This Row],[ESPACIO ACADÉMICO DESTINO]]&amp;Tabla9[[#This Row],[PROGRAMA DESTINO]],Tabla49[ESPACIO ACADÉMICO DESTINO]&amp;Tabla49[PROGRAMA],Tabla49[CRÉDITOS],"")</f>
        <v>2</v>
      </c>
      <c r="J539" s="14">
        <v>4.5</v>
      </c>
      <c r="K539" s="2" t="s">
        <v>116</v>
      </c>
      <c r="X539" s="52" t="s">
        <v>85</v>
      </c>
      <c r="Y539" s="8">
        <v>96110</v>
      </c>
      <c r="Z539" s="8" t="s">
        <v>240</v>
      </c>
      <c r="AA539" s="8">
        <v>3</v>
      </c>
    </row>
    <row r="540" spans="3:27" ht="60" x14ac:dyDescent="0.25">
      <c r="C540" s="1" t="str">
        <f>_xlfn.XLOOKUP(Tabla9[[#This Row],[PROGRAMA ORIGEN]],PROGRAMAS_N[PROGRAMAS ORIGEN],PROGRAMAS_N[NIVEL],"")</f>
        <v>TECNÓLOGO</v>
      </c>
      <c r="D540" s="16" t="s">
        <v>226</v>
      </c>
      <c r="E540" s="14">
        <v>270501042</v>
      </c>
      <c r="F540" s="10" t="s">
        <v>786</v>
      </c>
      <c r="G540" s="1" cm="1">
        <f t="array" ref="G540">+_xlfn.XLOOKUP(Tabla9[[#This Row],[ESPACIO ACADÉMICO DESTINO]]&amp;Tabla9[[#This Row],[PROGRAMA DESTINO]],Tabla49[ESPACIO ACADÉMICO DESTINO]&amp;Tabla49[PROGRAMA],Tabla49[CÓDIGO],"")</f>
        <v>16741</v>
      </c>
      <c r="H540" s="1" t="s">
        <v>472</v>
      </c>
      <c r="I540" s="14" cm="1">
        <f t="array" ref="I540">+_xlfn.XLOOKUP(Tabla9[[#This Row],[ESPACIO ACADÉMICO DESTINO]]&amp;Tabla9[[#This Row],[PROGRAMA DESTINO]],Tabla49[ESPACIO ACADÉMICO DESTINO]&amp;Tabla49[PROGRAMA],Tabla49[CRÉDITOS],"")</f>
        <v>2</v>
      </c>
      <c r="J540" s="14">
        <v>4.5</v>
      </c>
      <c r="K540" s="2" t="s">
        <v>116</v>
      </c>
      <c r="X540" s="52" t="s">
        <v>85</v>
      </c>
      <c r="Y540" s="8">
        <v>95170</v>
      </c>
      <c r="Z540" s="8" t="s">
        <v>804</v>
      </c>
      <c r="AA540" s="8">
        <v>0</v>
      </c>
    </row>
    <row r="541" spans="3:27" ht="60" x14ac:dyDescent="0.25">
      <c r="C541" s="1" t="str">
        <f>_xlfn.XLOOKUP(Tabla9[[#This Row],[PROGRAMA ORIGEN]],PROGRAMAS_N[PROGRAMAS ORIGEN],PROGRAMAS_N[NIVEL],"")</f>
        <v>TECNÓLOGO</v>
      </c>
      <c r="D541" s="16" t="s">
        <v>226</v>
      </c>
      <c r="E541" s="14">
        <v>270501042</v>
      </c>
      <c r="F541" s="10" t="s">
        <v>786</v>
      </c>
      <c r="G541" s="1" cm="1">
        <f t="array" ref="G541">+_xlfn.XLOOKUP(Tabla9[[#This Row],[ESPACIO ACADÉMICO DESTINO]]&amp;Tabla9[[#This Row],[PROGRAMA DESTINO]],Tabla49[ESPACIO ACADÉMICO DESTINO]&amp;Tabla49[PROGRAMA],Tabla49[CÓDIGO],"")</f>
        <v>73494</v>
      </c>
      <c r="H541" s="1" t="s">
        <v>486</v>
      </c>
      <c r="I541" s="14" cm="1">
        <f t="array" ref="I541">+_xlfn.XLOOKUP(Tabla9[[#This Row],[ESPACIO ACADÉMICO DESTINO]]&amp;Tabla9[[#This Row],[PROGRAMA DESTINO]],Tabla49[ESPACIO ACADÉMICO DESTINO]&amp;Tabla49[PROGRAMA],Tabla49[CRÉDITOS],"")</f>
        <v>3</v>
      </c>
      <c r="J541" s="14">
        <v>4.5</v>
      </c>
      <c r="K541" s="2" t="s">
        <v>116</v>
      </c>
      <c r="X541" s="52" t="s">
        <v>85</v>
      </c>
      <c r="Y541" s="8">
        <v>95108</v>
      </c>
      <c r="Z541" s="8" t="s">
        <v>101</v>
      </c>
      <c r="AA541" s="8">
        <v>2</v>
      </c>
    </row>
    <row r="542" spans="3:27" ht="60" x14ac:dyDescent="0.25">
      <c r="C542" s="1" t="str">
        <f>_xlfn.XLOOKUP(Tabla9[[#This Row],[PROGRAMA ORIGEN]],PROGRAMAS_N[PROGRAMAS ORIGEN],PROGRAMAS_N[NIVEL],"")</f>
        <v>TECNÓLOGO</v>
      </c>
      <c r="D542" s="16" t="s">
        <v>226</v>
      </c>
      <c r="E542" s="14">
        <v>220201003</v>
      </c>
      <c r="F542" s="10" t="s">
        <v>805</v>
      </c>
      <c r="G542" s="1" cm="1">
        <f t="array" ref="G542">+_xlfn.XLOOKUP(Tabla9[[#This Row],[ESPACIO ACADÉMICO DESTINO]]&amp;Tabla9[[#This Row],[PROGRAMA DESTINO]],Tabla49[ESPACIO ACADÉMICO DESTINO]&amp;Tabla49[PROGRAMA],Tabla49[CÓDIGO],"")</f>
        <v>16730</v>
      </c>
      <c r="H542" s="1" t="s">
        <v>462</v>
      </c>
      <c r="I542" s="14" cm="1">
        <f t="array" ref="I542">+_xlfn.XLOOKUP(Tabla9[[#This Row],[ESPACIO ACADÉMICO DESTINO]]&amp;Tabla9[[#This Row],[PROGRAMA DESTINO]],Tabla49[ESPACIO ACADÉMICO DESTINO]&amp;Tabla49[PROGRAMA],Tabla49[CRÉDITOS],"")</f>
        <v>2</v>
      </c>
      <c r="J542" s="14">
        <v>4.5</v>
      </c>
      <c r="K542" s="2" t="s">
        <v>116</v>
      </c>
      <c r="X542" s="52" t="s">
        <v>85</v>
      </c>
      <c r="Y542" s="8">
        <v>15062</v>
      </c>
      <c r="Z542" s="8" t="s">
        <v>290</v>
      </c>
      <c r="AA542" s="8">
        <v>3</v>
      </c>
    </row>
    <row r="543" spans="3:27" ht="60" x14ac:dyDescent="0.25">
      <c r="C543" s="1" t="str">
        <f>_xlfn.XLOOKUP(Tabla9[[#This Row],[PROGRAMA ORIGEN]],PROGRAMAS_N[PROGRAMAS ORIGEN],PROGRAMAS_N[NIVEL],"")</f>
        <v>TECNÓLOGO</v>
      </c>
      <c r="D543" s="16" t="s">
        <v>226</v>
      </c>
      <c r="E543" s="14">
        <v>220201003</v>
      </c>
      <c r="F543" s="10" t="s">
        <v>805</v>
      </c>
      <c r="G543" s="1" cm="1">
        <f t="array" ref="G543">+_xlfn.XLOOKUP(Tabla9[[#This Row],[ESPACIO ACADÉMICO DESTINO]]&amp;Tabla9[[#This Row],[PROGRAMA DESTINO]],Tabla49[ESPACIO ACADÉMICO DESTINO]&amp;Tabla49[PROGRAMA],Tabla49[CÓDIGO],"")</f>
        <v>16723</v>
      </c>
      <c r="H543" s="1" t="s">
        <v>534</v>
      </c>
      <c r="I543" s="14" cm="1">
        <f t="array" ref="I543">+_xlfn.XLOOKUP(Tabla9[[#This Row],[ESPACIO ACADÉMICO DESTINO]]&amp;Tabla9[[#This Row],[PROGRAMA DESTINO]],Tabla49[ESPACIO ACADÉMICO DESTINO]&amp;Tabla49[PROGRAMA],Tabla49[CRÉDITOS],"")</f>
        <v>2</v>
      </c>
      <c r="J543" s="14">
        <v>4.5</v>
      </c>
      <c r="K543" s="2" t="s">
        <v>116</v>
      </c>
      <c r="X543" s="52" t="s">
        <v>85</v>
      </c>
      <c r="Y543" s="8">
        <v>95109</v>
      </c>
      <c r="Z543" s="8" t="s">
        <v>136</v>
      </c>
      <c r="AA543" s="8">
        <v>2</v>
      </c>
    </row>
    <row r="544" spans="3:27" ht="60" x14ac:dyDescent="0.25">
      <c r="C544" s="1" t="str">
        <f>_xlfn.XLOOKUP(Tabla9[[#This Row],[PROGRAMA ORIGEN]],PROGRAMAS_N[PROGRAMAS ORIGEN],PROGRAMAS_N[NIVEL],"")</f>
        <v>TECNÓLOGO</v>
      </c>
      <c r="D544" s="16" t="s">
        <v>226</v>
      </c>
      <c r="E544" s="14">
        <v>270501033</v>
      </c>
      <c r="F544" s="10" t="s">
        <v>806</v>
      </c>
      <c r="G544" s="1" cm="1">
        <f t="array" ref="G544">+_xlfn.XLOOKUP(Tabla9[[#This Row],[ESPACIO ACADÉMICO DESTINO]]&amp;Tabla9[[#This Row],[PROGRAMA DESTINO]],Tabla49[ESPACIO ACADÉMICO DESTINO]&amp;Tabla49[PROGRAMA],Tabla49[CÓDIGO],"")</f>
        <v>16733</v>
      </c>
      <c r="H544" s="1" t="s">
        <v>468</v>
      </c>
      <c r="I544" s="14" cm="1">
        <f t="array" ref="I544">+_xlfn.XLOOKUP(Tabla9[[#This Row],[ESPACIO ACADÉMICO DESTINO]]&amp;Tabla9[[#This Row],[PROGRAMA DESTINO]],Tabla49[ESPACIO ACADÉMICO DESTINO]&amp;Tabla49[PROGRAMA],Tabla49[CRÉDITOS],"")</f>
        <v>3</v>
      </c>
      <c r="J544" s="14">
        <v>4.5</v>
      </c>
      <c r="K544" s="2" t="s">
        <v>116</v>
      </c>
      <c r="X544" s="52" t="s">
        <v>85</v>
      </c>
      <c r="Y544" s="8">
        <v>96113</v>
      </c>
      <c r="Z544" s="8" t="s">
        <v>249</v>
      </c>
      <c r="AA544" s="8">
        <v>3</v>
      </c>
    </row>
    <row r="545" spans="3:27" ht="60" x14ac:dyDescent="0.25">
      <c r="C545" s="1" t="str">
        <f>_xlfn.XLOOKUP(Tabla9[[#This Row],[PROGRAMA ORIGEN]],PROGRAMAS_N[PROGRAMAS ORIGEN],PROGRAMAS_N[NIVEL],"")</f>
        <v>TECNÓLOGO</v>
      </c>
      <c r="D545" s="16" t="s">
        <v>226</v>
      </c>
      <c r="E545" s="14">
        <v>270501033</v>
      </c>
      <c r="F545" s="10" t="s">
        <v>806</v>
      </c>
      <c r="G545" s="1" cm="1">
        <f t="array" ref="G545">+_xlfn.XLOOKUP(Tabla9[[#This Row],[ESPACIO ACADÉMICO DESTINO]]&amp;Tabla9[[#This Row],[PROGRAMA DESTINO]],Tabla49[ESPACIO ACADÉMICO DESTINO]&amp;Tabla49[PROGRAMA],Tabla49[CÓDIGO],"")</f>
        <v>16740</v>
      </c>
      <c r="H545" s="1" t="s">
        <v>483</v>
      </c>
      <c r="I545" s="14" cm="1">
        <f t="array" ref="I545">+_xlfn.XLOOKUP(Tabla9[[#This Row],[ESPACIO ACADÉMICO DESTINO]]&amp;Tabla9[[#This Row],[PROGRAMA DESTINO]],Tabla49[ESPACIO ACADÉMICO DESTINO]&amp;Tabla49[PROGRAMA],Tabla49[CRÉDITOS],"")</f>
        <v>2</v>
      </c>
      <c r="J545" s="14">
        <v>4.5</v>
      </c>
      <c r="K545" s="2" t="s">
        <v>116</v>
      </c>
      <c r="X545" s="52" t="s">
        <v>85</v>
      </c>
      <c r="Y545" s="8">
        <v>15061</v>
      </c>
      <c r="Z545" s="8" t="s">
        <v>807</v>
      </c>
      <c r="AA545" s="8">
        <v>3</v>
      </c>
    </row>
    <row r="546" spans="3:27" ht="45" x14ac:dyDescent="0.25">
      <c r="C546" s="1" t="str">
        <f>_xlfn.XLOOKUP(Tabla9[[#This Row],[PROGRAMA ORIGEN]],PROGRAMAS_N[PROGRAMAS ORIGEN],PROGRAMAS_N[NIVEL],"")</f>
        <v>TECNÓLOGO</v>
      </c>
      <c r="D546" s="16" t="s">
        <v>226</v>
      </c>
      <c r="E546" s="14">
        <v>270501028</v>
      </c>
      <c r="F546" s="10" t="s">
        <v>808</v>
      </c>
      <c r="G546" s="1" cm="1">
        <f t="array" ref="G546">+_xlfn.XLOOKUP(Tabla9[[#This Row],[ESPACIO ACADÉMICO DESTINO]]&amp;Tabla9[[#This Row],[PROGRAMA DESTINO]],Tabla49[ESPACIO ACADÉMICO DESTINO]&amp;Tabla49[PROGRAMA],Tabla49[CÓDIGO],"")</f>
        <v>16752</v>
      </c>
      <c r="H546" s="1" t="s">
        <v>537</v>
      </c>
      <c r="I546" s="14" cm="1">
        <f t="array" ref="I546">+_xlfn.XLOOKUP(Tabla9[[#This Row],[ESPACIO ACADÉMICO DESTINO]]&amp;Tabla9[[#This Row],[PROGRAMA DESTINO]],Tabla49[ESPACIO ACADÉMICO DESTINO]&amp;Tabla49[PROGRAMA],Tabla49[CRÉDITOS],"")</f>
        <v>2</v>
      </c>
      <c r="J546" s="14">
        <v>4.5</v>
      </c>
      <c r="K546" s="2" t="s">
        <v>116</v>
      </c>
      <c r="X546" s="52" t="s">
        <v>85</v>
      </c>
      <c r="Y546" s="8">
        <v>15650</v>
      </c>
      <c r="Z546" s="8" t="s">
        <v>809</v>
      </c>
      <c r="AA546" s="8">
        <v>2</v>
      </c>
    </row>
    <row r="547" spans="3:27" ht="60" x14ac:dyDescent="0.25">
      <c r="C547" s="1" t="str">
        <f>_xlfn.XLOOKUP(Tabla9[[#This Row],[PROGRAMA ORIGEN]],PROGRAMAS_N[PROGRAMAS ORIGEN],PROGRAMAS_N[NIVEL],"")</f>
        <v>TECNÓLOGO</v>
      </c>
      <c r="D547" s="16" t="s">
        <v>226</v>
      </c>
      <c r="E547" s="14">
        <v>270501904</v>
      </c>
      <c r="F547" s="10" t="s">
        <v>810</v>
      </c>
      <c r="G547" s="1" cm="1">
        <f t="array" ref="G547">+_xlfn.XLOOKUP(Tabla9[[#This Row],[ESPACIO ACADÉMICO DESTINO]]&amp;Tabla9[[#This Row],[PROGRAMA DESTINO]],Tabla49[ESPACIO ACADÉMICO DESTINO]&amp;Tabla49[PROGRAMA],Tabla49[CÓDIGO],"")</f>
        <v>73499</v>
      </c>
      <c r="H547" s="1" t="s">
        <v>505</v>
      </c>
      <c r="I547" s="14" cm="1">
        <f t="array" ref="I547">+_xlfn.XLOOKUP(Tabla9[[#This Row],[ESPACIO ACADÉMICO DESTINO]]&amp;Tabla9[[#This Row],[PROGRAMA DESTINO]],Tabla49[ESPACIO ACADÉMICO DESTINO]&amp;Tabla49[PROGRAMA],Tabla49[CRÉDITOS],"")</f>
        <v>3</v>
      </c>
      <c r="J547" s="14">
        <v>4.5</v>
      </c>
      <c r="K547" s="2" t="s">
        <v>116</v>
      </c>
      <c r="X547" s="52" t="s">
        <v>85</v>
      </c>
      <c r="Y547" s="8">
        <v>96112</v>
      </c>
      <c r="Z547" s="8" t="s">
        <v>235</v>
      </c>
      <c r="AA547" s="8">
        <v>3</v>
      </c>
    </row>
    <row r="548" spans="3:27" ht="30" x14ac:dyDescent="0.25">
      <c r="C548" s="1" t="str">
        <f>_xlfn.XLOOKUP(Tabla9[[#This Row],[PROGRAMA ORIGEN]],PROGRAMAS_N[PROGRAMAS ORIGEN],PROGRAMAS_N[NIVEL],"")</f>
        <v>TECNÓLOGO</v>
      </c>
      <c r="D548" s="16" t="s">
        <v>226</v>
      </c>
      <c r="E548" s="14">
        <v>270501025</v>
      </c>
      <c r="F548" s="10" t="s">
        <v>811</v>
      </c>
      <c r="G548" s="1" cm="1">
        <f t="array" ref="G548">+_xlfn.XLOOKUP(Tabla9[[#This Row],[ESPACIO ACADÉMICO DESTINO]]&amp;Tabla9[[#This Row],[PROGRAMA DESTINO]],Tabla49[ESPACIO ACADÉMICO DESTINO]&amp;Tabla49[PROGRAMA],Tabla49[CÓDIGO],"")</f>
        <v>73500</v>
      </c>
      <c r="H548" s="1" t="s">
        <v>812</v>
      </c>
      <c r="I548" s="14" cm="1">
        <f t="array" ref="I548">+_xlfn.XLOOKUP(Tabla9[[#This Row],[ESPACIO ACADÉMICO DESTINO]]&amp;Tabla9[[#This Row],[PROGRAMA DESTINO]],Tabla49[ESPACIO ACADÉMICO DESTINO]&amp;Tabla49[PROGRAMA],Tabla49[CRÉDITOS],"")</f>
        <v>3</v>
      </c>
      <c r="J548" s="14">
        <v>4.5</v>
      </c>
      <c r="K548" s="2" t="s">
        <v>116</v>
      </c>
      <c r="X548" s="52" t="s">
        <v>85</v>
      </c>
      <c r="Y548" s="8">
        <v>96145</v>
      </c>
      <c r="Z548" s="8" t="s">
        <v>813</v>
      </c>
      <c r="AA548" s="8">
        <v>3</v>
      </c>
    </row>
    <row r="549" spans="3:27" ht="30" x14ac:dyDescent="0.25">
      <c r="C549" s="1" t="str">
        <f>_xlfn.XLOOKUP(Tabla9[[#This Row],[PROGRAMA ORIGEN]],PROGRAMAS_N[PROGRAMAS ORIGEN],PROGRAMAS_N[NIVEL],"")</f>
        <v>TECNÓLOGO</v>
      </c>
      <c r="D549" s="16" t="s">
        <v>226</v>
      </c>
      <c r="E549" s="14">
        <v>270501017</v>
      </c>
      <c r="F549" s="10" t="s">
        <v>797</v>
      </c>
      <c r="G549" s="1" cm="1">
        <f t="array" ref="G549">+_xlfn.XLOOKUP(Tabla9[[#This Row],[ESPACIO ACADÉMICO DESTINO]]&amp;Tabla9[[#This Row],[PROGRAMA DESTINO]],Tabla49[ESPACIO ACADÉMICO DESTINO]&amp;Tabla49[PROGRAMA],Tabla49[CÓDIGO],"")</f>
        <v>16753</v>
      </c>
      <c r="H549" s="1" t="s">
        <v>539</v>
      </c>
      <c r="I549" s="14" cm="1">
        <f t="array" ref="I549">+_xlfn.XLOOKUP(Tabla9[[#This Row],[ESPACIO ACADÉMICO DESTINO]]&amp;Tabla9[[#This Row],[PROGRAMA DESTINO]],Tabla49[ESPACIO ACADÉMICO DESTINO]&amp;Tabla49[PROGRAMA],Tabla49[CRÉDITOS],"")</f>
        <v>2</v>
      </c>
      <c r="J549" s="14">
        <v>4.5</v>
      </c>
      <c r="K549" s="2" t="s">
        <v>116</v>
      </c>
      <c r="X549" s="52" t="s">
        <v>85</v>
      </c>
      <c r="Y549" s="8">
        <v>96115</v>
      </c>
      <c r="Z549" s="8" t="s">
        <v>256</v>
      </c>
      <c r="AA549" s="8">
        <v>3</v>
      </c>
    </row>
    <row r="550" spans="3:27" ht="30" x14ac:dyDescent="0.25">
      <c r="C550" s="1" t="str">
        <f>_xlfn.XLOOKUP(Tabla9[[#This Row],[PROGRAMA ORIGEN]],PROGRAMAS_N[PROGRAMAS ORIGEN],PROGRAMAS_N[NIVEL],"")</f>
        <v>TÉCNICO</v>
      </c>
      <c r="D550" s="16" t="s">
        <v>105</v>
      </c>
      <c r="E550" s="14">
        <v>240201080</v>
      </c>
      <c r="F550" s="10" t="s">
        <v>814</v>
      </c>
      <c r="G550" s="10" cm="1">
        <f t="array" ref="G550">+_xlfn.XLOOKUP(Tabla9[[#This Row],[ESPACIO ACADÉMICO DESTINO]]&amp;Tabla9[[#This Row],[PROGRAMA DESTINO]],Tabla49[ESPACIO ACADÉMICO DESTINO]&amp;Tabla49[PROGRAMA],Tabla49[CÓDIGO],"")</f>
        <v>17847</v>
      </c>
      <c r="H550" s="10" t="s">
        <v>669</v>
      </c>
      <c r="I550" s="14" cm="1">
        <f t="array" ref="I550">+_xlfn.XLOOKUP(Tabla9[[#This Row],[ESPACIO ACADÉMICO DESTINO]]&amp;Tabla9[[#This Row],[PROGRAMA DESTINO]],Tabla49[ESPACIO ACADÉMICO DESTINO]&amp;Tabla49[PROGRAMA],Tabla49[CRÉDITOS],"")</f>
        <v>3</v>
      </c>
      <c r="J550" s="14">
        <v>4.5</v>
      </c>
      <c r="K550" s="10" t="s">
        <v>112</v>
      </c>
      <c r="X550" s="52" t="s">
        <v>85</v>
      </c>
      <c r="Y550" s="8">
        <v>15651</v>
      </c>
      <c r="Z550" s="8" t="s">
        <v>809</v>
      </c>
      <c r="AA550" s="8">
        <v>2</v>
      </c>
    </row>
    <row r="551" spans="3:27" ht="30" x14ac:dyDescent="0.25">
      <c r="C551" s="10" t="str">
        <f>_xlfn.XLOOKUP(Tabla9[[#This Row],[PROGRAMA ORIGEN]],PROGRAMAS_N[PROGRAMAS ORIGEN],PROGRAMAS_N[NIVEL],"")</f>
        <v>TÉCNICO</v>
      </c>
      <c r="D551" s="16" t="s">
        <v>105</v>
      </c>
      <c r="E551" s="14">
        <v>240201080</v>
      </c>
      <c r="F551" s="10" t="s">
        <v>814</v>
      </c>
      <c r="G551" s="10" cm="1">
        <f t="array" ref="G551">+_xlfn.XLOOKUP(Tabla9[[#This Row],[ESPACIO ACADÉMICO DESTINO]]&amp;Tabla9[[#This Row],[PROGRAMA DESTINO]],Tabla49[ESPACIO ACADÉMICO DESTINO]&amp;Tabla49[PROGRAMA],Tabla49[CÓDIGO],"")</f>
        <v>17898</v>
      </c>
      <c r="H551" s="10" t="s">
        <v>690</v>
      </c>
      <c r="I551" s="14" cm="1">
        <f t="array" ref="I551">+_xlfn.XLOOKUP(Tabla9[[#This Row],[ESPACIO ACADÉMICO DESTINO]]&amp;Tabla9[[#This Row],[PROGRAMA DESTINO]],Tabla49[ESPACIO ACADÉMICO DESTINO]&amp;Tabla49[PROGRAMA],Tabla49[CRÉDITOS],"")</f>
        <v>3</v>
      </c>
      <c r="J551" s="14">
        <v>4.5</v>
      </c>
      <c r="K551" s="10" t="s">
        <v>112</v>
      </c>
      <c r="X551" s="52" t="s">
        <v>85</v>
      </c>
      <c r="Y551" s="8">
        <v>15069</v>
      </c>
      <c r="Z551" s="8" t="s">
        <v>815</v>
      </c>
      <c r="AA551" s="8">
        <v>2</v>
      </c>
    </row>
    <row r="552" spans="3:27" ht="30" x14ac:dyDescent="0.25">
      <c r="C552" s="1" t="str">
        <f>_xlfn.XLOOKUP(Tabla9[[#This Row],[PROGRAMA ORIGEN]],PROGRAMAS_N[PROGRAMAS ORIGEN],PROGRAMAS_N[NIVEL],"")</f>
        <v>TÉCNICO</v>
      </c>
      <c r="D552" s="16" t="s">
        <v>105</v>
      </c>
      <c r="E552" s="14">
        <v>230101256</v>
      </c>
      <c r="F552" s="10" t="s">
        <v>816</v>
      </c>
      <c r="G552" s="10" cm="1">
        <f t="array" ref="G552">+_xlfn.XLOOKUP(Tabla9[[#This Row],[ESPACIO ACADÉMICO DESTINO]]&amp;Tabla9[[#This Row],[PROGRAMA DESTINO]],Tabla49[ESPACIO ACADÉMICO DESTINO]&amp;Tabla49[PROGRAMA],Tabla49[CÓDIGO],"")</f>
        <v>17901</v>
      </c>
      <c r="H552" s="10" t="s">
        <v>671</v>
      </c>
      <c r="I552" s="14" cm="1">
        <f t="array" ref="I552">+_xlfn.XLOOKUP(Tabla9[[#This Row],[ESPACIO ACADÉMICO DESTINO]]&amp;Tabla9[[#This Row],[PROGRAMA DESTINO]],Tabla49[ESPACIO ACADÉMICO DESTINO]&amp;Tabla49[PROGRAMA],Tabla49[CRÉDITOS],"")</f>
        <v>3</v>
      </c>
      <c r="J552" s="14">
        <v>4.5</v>
      </c>
      <c r="K552" s="10" t="s">
        <v>112</v>
      </c>
      <c r="X552" s="52" t="s">
        <v>85</v>
      </c>
      <c r="Y552" s="8">
        <v>15009</v>
      </c>
      <c r="Z552" s="8" t="s">
        <v>817</v>
      </c>
      <c r="AA552" s="8">
        <v>3</v>
      </c>
    </row>
    <row r="553" spans="3:27" ht="30" x14ac:dyDescent="0.25">
      <c r="C553" s="1" t="str">
        <f>_xlfn.XLOOKUP(Tabla9[[#This Row],[PROGRAMA ORIGEN]],PROGRAMAS_N[PROGRAMAS ORIGEN],PROGRAMAS_N[NIVEL],"")</f>
        <v>TÉCNICO</v>
      </c>
      <c r="D553" s="16" t="s">
        <v>105</v>
      </c>
      <c r="E553" s="14">
        <v>230101256</v>
      </c>
      <c r="F553" s="10" t="s">
        <v>816</v>
      </c>
      <c r="G553" s="10" cm="1">
        <f t="array" ref="G553">+_xlfn.XLOOKUP(Tabla9[[#This Row],[ESPACIO ACADÉMICO DESTINO]]&amp;Tabla9[[#This Row],[PROGRAMA DESTINO]],Tabla49[ESPACIO ACADÉMICO DESTINO]&amp;Tabla49[PROGRAMA],Tabla49[CÓDIGO],"")</f>
        <v>17900</v>
      </c>
      <c r="H553" s="10" t="s">
        <v>731</v>
      </c>
      <c r="I553" s="14" cm="1">
        <f t="array" ref="I553">+_xlfn.XLOOKUP(Tabla9[[#This Row],[ESPACIO ACADÉMICO DESTINO]]&amp;Tabla9[[#This Row],[PROGRAMA DESTINO]],Tabla49[ESPACIO ACADÉMICO DESTINO]&amp;Tabla49[PROGRAMA],Tabla49[CRÉDITOS],"")</f>
        <v>3</v>
      </c>
      <c r="J553" s="14">
        <v>4.5</v>
      </c>
      <c r="K553" s="10" t="s">
        <v>112</v>
      </c>
      <c r="X553" s="52" t="s">
        <v>85</v>
      </c>
      <c r="Y553" s="8">
        <v>15068</v>
      </c>
      <c r="Z553" s="8" t="s">
        <v>245</v>
      </c>
      <c r="AA553" s="8">
        <v>3</v>
      </c>
    </row>
    <row r="554" spans="3:27" ht="30" x14ac:dyDescent="0.25">
      <c r="C554" s="1" t="str">
        <f>_xlfn.XLOOKUP(Tabla9[[#This Row],[PROGRAMA ORIGEN]],PROGRAMAS_N[PROGRAMAS ORIGEN],PROGRAMAS_N[NIVEL],"")</f>
        <v>TÉCNICO</v>
      </c>
      <c r="D554" s="16" t="s">
        <v>105</v>
      </c>
      <c r="E554" s="14">
        <v>240201524</v>
      </c>
      <c r="F554" s="10" t="s">
        <v>818</v>
      </c>
      <c r="G554" s="10" cm="1">
        <f t="array" ref="G554">+_xlfn.XLOOKUP(Tabla9[[#This Row],[ESPACIO ACADÉMICO DESTINO]]&amp;Tabla9[[#This Row],[PROGRAMA DESTINO]],Tabla49[ESPACIO ACADÉMICO DESTINO]&amp;Tabla49[PROGRAMA],Tabla49[CÓDIGO],"")</f>
        <v>17906</v>
      </c>
      <c r="H554" s="10" t="s">
        <v>705</v>
      </c>
      <c r="I554" s="14" cm="1">
        <f t="array" ref="I554">+_xlfn.XLOOKUP(Tabla9[[#This Row],[ESPACIO ACADÉMICO DESTINO]]&amp;Tabla9[[#This Row],[PROGRAMA DESTINO]],Tabla49[ESPACIO ACADÉMICO DESTINO]&amp;Tabla49[PROGRAMA],Tabla49[CRÉDITOS],"")</f>
        <v>3</v>
      </c>
      <c r="J554" s="14">
        <v>4.5</v>
      </c>
      <c r="K554" s="10" t="s">
        <v>112</v>
      </c>
      <c r="X554" s="52" t="s">
        <v>85</v>
      </c>
      <c r="Y554" s="8">
        <v>15094</v>
      </c>
      <c r="Z554" s="8" t="s">
        <v>819</v>
      </c>
      <c r="AA554" s="8">
        <v>3</v>
      </c>
    </row>
    <row r="555" spans="3:27" ht="30" x14ac:dyDescent="0.25">
      <c r="C555" s="1" t="str">
        <f>_xlfn.XLOOKUP(Tabla9[[#This Row],[PROGRAMA ORIGEN]],PROGRAMAS_N[PROGRAMAS ORIGEN],PROGRAMAS_N[NIVEL],"")</f>
        <v>TÉCNICO</v>
      </c>
      <c r="D555" s="16" t="s">
        <v>105</v>
      </c>
      <c r="E555" s="14">
        <v>240201526</v>
      </c>
      <c r="F555" s="10" t="s">
        <v>820</v>
      </c>
      <c r="G555" s="10" cm="1">
        <f t="array" ref="G555">+_xlfn.XLOOKUP(Tabla9[[#This Row],[ESPACIO ACADÉMICO DESTINO]]&amp;Tabla9[[#This Row],[PROGRAMA DESTINO]],Tabla49[ESPACIO ACADÉMICO DESTINO]&amp;Tabla49[PROGRAMA],Tabla49[CÓDIGO],"")</f>
        <v>95113</v>
      </c>
      <c r="H555" s="10" t="s">
        <v>214</v>
      </c>
      <c r="I555" s="14" cm="1">
        <f t="array" ref="I555">+_xlfn.XLOOKUP(Tabla9[[#This Row],[ESPACIO ACADÉMICO DESTINO]]&amp;Tabla9[[#This Row],[PROGRAMA DESTINO]],Tabla49[ESPACIO ACADÉMICO DESTINO]&amp;Tabla49[PROGRAMA],Tabla49[CRÉDITOS],"")</f>
        <v>2</v>
      </c>
      <c r="J555" s="14">
        <v>4.5</v>
      </c>
      <c r="K555" s="10" t="s">
        <v>112</v>
      </c>
      <c r="X555" s="52" t="s">
        <v>85</v>
      </c>
      <c r="Y555" s="8">
        <v>96117</v>
      </c>
      <c r="Z555" s="8" t="s">
        <v>261</v>
      </c>
      <c r="AA555" s="8">
        <v>3</v>
      </c>
    </row>
    <row r="556" spans="3:27" ht="30" x14ac:dyDescent="0.25">
      <c r="C556" s="10" t="str">
        <f>_xlfn.XLOOKUP(Tabla9[[#This Row],[PROGRAMA ORIGEN]],PROGRAMAS_N[PROGRAMAS ORIGEN],PROGRAMAS_N[NIVEL],"")</f>
        <v>TECNÓLOGO</v>
      </c>
      <c r="D556" s="16" t="s">
        <v>141</v>
      </c>
      <c r="E556" s="14">
        <v>240201500</v>
      </c>
      <c r="F556" s="10" t="s">
        <v>144</v>
      </c>
      <c r="G556" s="10" cm="1">
        <f t="array" ref="G556">+_xlfn.XLOOKUP(Tabla9[[#This Row],[ESPACIO ACADÉMICO DESTINO]]&amp;Tabla9[[#This Row],[PROGRAMA DESTINO]],Tabla49[ESPACIO ACADÉMICO DESTINO]&amp;Tabla49[PROGRAMA],Tabla49[CÓDIGO],"")</f>
        <v>30391</v>
      </c>
      <c r="H556" s="10" t="s">
        <v>565</v>
      </c>
      <c r="I556" s="14" cm="1">
        <f t="array" ref="I556">+_xlfn.XLOOKUP(Tabla9[[#This Row],[ESPACIO ACADÉMICO DESTINO]]&amp;Tabla9[[#This Row],[PROGRAMA DESTINO]],Tabla49[ESPACIO ACADÉMICO DESTINO]&amp;Tabla49[PROGRAMA],Tabla49[CRÉDITOS],"")</f>
        <v>2</v>
      </c>
      <c r="J556" s="14">
        <v>4.5</v>
      </c>
      <c r="K556" s="10" t="s">
        <v>65</v>
      </c>
      <c r="X556" s="52" t="s">
        <v>85</v>
      </c>
      <c r="Y556" s="8">
        <v>15652</v>
      </c>
      <c r="Z556" s="8" t="s">
        <v>821</v>
      </c>
      <c r="AA556" s="8">
        <v>2</v>
      </c>
    </row>
    <row r="557" spans="3:27" ht="30" x14ac:dyDescent="0.25">
      <c r="C557" s="1" t="str">
        <f>_xlfn.XLOOKUP(Tabla9[[#This Row],[PROGRAMA ORIGEN]],PROGRAMAS_N[PROGRAMAS ORIGEN],PROGRAMAS_N[NIVEL],"")</f>
        <v>TECNÓLOGO</v>
      </c>
      <c r="D557" s="16" t="s">
        <v>141</v>
      </c>
      <c r="E557" s="14">
        <v>210301019</v>
      </c>
      <c r="F557" s="10" t="s">
        <v>822</v>
      </c>
      <c r="G557" s="10" cm="1">
        <f t="array" ref="G557">+_xlfn.XLOOKUP(Tabla9[[#This Row],[ESPACIO ACADÉMICO DESTINO]]&amp;Tabla9[[#This Row],[PROGRAMA DESTINO]],Tabla49[ESPACIO ACADÉMICO DESTINO]&amp;Tabla49[PROGRAMA],Tabla49[CÓDIGO],"")</f>
        <v>30381</v>
      </c>
      <c r="H557" s="10" t="s">
        <v>552</v>
      </c>
      <c r="I557" s="14" cm="1">
        <f t="array" ref="I557">+_xlfn.XLOOKUP(Tabla9[[#This Row],[ESPACIO ACADÉMICO DESTINO]]&amp;Tabla9[[#This Row],[PROGRAMA DESTINO]],Tabla49[ESPACIO ACADÉMICO DESTINO]&amp;Tabla49[PROGRAMA],Tabla49[CRÉDITOS],"")</f>
        <v>3</v>
      </c>
      <c r="J557" s="14">
        <v>4.5</v>
      </c>
      <c r="K557" s="10" t="s">
        <v>65</v>
      </c>
      <c r="X557" s="52" t="s">
        <v>85</v>
      </c>
      <c r="Y557" s="8">
        <v>96303</v>
      </c>
      <c r="Z557" s="8" t="s">
        <v>255</v>
      </c>
      <c r="AA557" s="8">
        <v>3</v>
      </c>
    </row>
    <row r="558" spans="3:27" ht="45" x14ac:dyDescent="0.25">
      <c r="C558" s="1" t="str">
        <f>_xlfn.XLOOKUP(Tabla9[[#This Row],[PROGRAMA ORIGEN]],PROGRAMAS_N[PROGRAMAS ORIGEN],PROGRAMAS_N[NIVEL],"")</f>
        <v>TECNÓLOGO</v>
      </c>
      <c r="D558" s="16" t="s">
        <v>141</v>
      </c>
      <c r="E558" s="14">
        <v>210601014</v>
      </c>
      <c r="F558" s="10" t="s">
        <v>823</v>
      </c>
      <c r="G558" s="10" cm="1">
        <f t="array" ref="G558">+_xlfn.XLOOKUP(Tabla9[[#This Row],[ESPACIO ACADÉMICO DESTINO]]&amp;Tabla9[[#This Row],[PROGRAMA DESTINO]],Tabla49[ESPACIO ACADÉMICO DESTINO]&amp;Tabla49[PROGRAMA],Tabla49[CÓDIGO],"")</f>
        <v>30508</v>
      </c>
      <c r="H558" s="10" t="s">
        <v>581</v>
      </c>
      <c r="I558" s="14" cm="1">
        <f t="array" ref="I558">+_xlfn.XLOOKUP(Tabla9[[#This Row],[ESPACIO ACADÉMICO DESTINO]]&amp;Tabla9[[#This Row],[PROGRAMA DESTINO]],Tabla49[ESPACIO ACADÉMICO DESTINO]&amp;Tabla49[PROGRAMA],Tabla49[CRÉDITOS],"")</f>
        <v>3</v>
      </c>
      <c r="J558" s="14">
        <v>4.5</v>
      </c>
      <c r="K558" s="10" t="s">
        <v>65</v>
      </c>
      <c r="X558" s="52" t="s">
        <v>85</v>
      </c>
      <c r="Y558" s="8">
        <v>15686</v>
      </c>
      <c r="Z558" s="8" t="s">
        <v>824</v>
      </c>
      <c r="AA558" s="8">
        <v>3</v>
      </c>
    </row>
    <row r="559" spans="3:27" ht="30" x14ac:dyDescent="0.25">
      <c r="C559" s="1" t="str">
        <f>_xlfn.XLOOKUP(Tabla9[[#This Row],[PROGRAMA ORIGEN]],PROGRAMAS_N[PROGRAMAS ORIGEN],PROGRAMAS_N[NIVEL],"")</f>
        <v>TECNÓLOGO</v>
      </c>
      <c r="D559" s="16" t="s">
        <v>141</v>
      </c>
      <c r="E559" s="14">
        <v>260101005</v>
      </c>
      <c r="F559" s="10" t="s">
        <v>825</v>
      </c>
      <c r="G559" s="10" cm="1">
        <f t="array" ref="G559">+_xlfn.XLOOKUP(Tabla9[[#This Row],[ESPACIO ACADÉMICO DESTINO]]&amp;Tabla9[[#This Row],[PROGRAMA DESTINO]],Tabla49[ESPACIO ACADÉMICO DESTINO]&amp;Tabla49[PROGRAMA],Tabla49[CÓDIGO],"")</f>
        <v>30396</v>
      </c>
      <c r="H559" s="10" t="s">
        <v>408</v>
      </c>
      <c r="I559" s="14" cm="1">
        <f t="array" ref="I559">+_xlfn.XLOOKUP(Tabla9[[#This Row],[ESPACIO ACADÉMICO DESTINO]]&amp;Tabla9[[#This Row],[PROGRAMA DESTINO]],Tabla49[ESPACIO ACADÉMICO DESTINO]&amp;Tabla49[PROGRAMA],Tabla49[CRÉDITOS],"")</f>
        <v>3</v>
      </c>
      <c r="J559" s="14">
        <v>4.5</v>
      </c>
      <c r="K559" s="10" t="s">
        <v>65</v>
      </c>
      <c r="X559" s="52" t="s">
        <v>85</v>
      </c>
      <c r="Y559" s="8">
        <v>15026</v>
      </c>
      <c r="Z559" s="8" t="s">
        <v>262</v>
      </c>
      <c r="AA559" s="8">
        <v>2</v>
      </c>
    </row>
    <row r="560" spans="3:27" ht="30" x14ac:dyDescent="0.25">
      <c r="C560" s="1" t="str">
        <f>_xlfn.XLOOKUP(Tabla9[[#This Row],[PROGRAMA ORIGEN]],PROGRAMAS_N[PROGRAMAS ORIGEN],PROGRAMAS_N[NIVEL],"")</f>
        <v>TECNÓLOGO</v>
      </c>
      <c r="D560" s="16" t="s">
        <v>141</v>
      </c>
      <c r="E560" s="14">
        <v>260101021</v>
      </c>
      <c r="F560" s="10" t="s">
        <v>564</v>
      </c>
      <c r="G560" s="10" t="str" cm="1">
        <f t="array" ref="G560">+_xlfn.XLOOKUP(Tabla9[[#This Row],[ESPACIO ACADÉMICO DESTINO]]&amp;Tabla9[[#This Row],[PROGRAMA DESTINO]],Tabla49[ESPACIO ACADÉMICO DESTINO]&amp;Tabla49[PROGRAMA],Tabla49[CÓDIGO],"")</f>
        <v/>
      </c>
      <c r="H560" s="10"/>
      <c r="I560" s="14" t="str" cm="1">
        <f t="array" ref="I560">+_xlfn.XLOOKUP(Tabla9[[#This Row],[ESPACIO ACADÉMICO DESTINO]]&amp;Tabla9[[#This Row],[PROGRAMA DESTINO]],Tabla49[ESPACIO ACADÉMICO DESTINO]&amp;Tabla49[PROGRAMA],Tabla49[CRÉDITOS],"")</f>
        <v/>
      </c>
      <c r="J560" s="14"/>
      <c r="K560" s="10" t="s">
        <v>65</v>
      </c>
      <c r="X560" s="52" t="s">
        <v>85</v>
      </c>
      <c r="Y560" s="8">
        <v>15065</v>
      </c>
      <c r="Z560" s="8" t="s">
        <v>293</v>
      </c>
      <c r="AA560" s="8">
        <v>2</v>
      </c>
    </row>
    <row r="561" spans="3:27" ht="30" x14ac:dyDescent="0.25">
      <c r="C561" s="1" t="str">
        <f>_xlfn.XLOOKUP(Tabla9[[#This Row],[PROGRAMA ORIGEN]],PROGRAMAS_N[PROGRAMAS ORIGEN],PROGRAMAS_N[NIVEL],"")</f>
        <v>TECNÓLOGO</v>
      </c>
      <c r="D561" s="16" t="s">
        <v>141</v>
      </c>
      <c r="E561" s="14">
        <v>260101010</v>
      </c>
      <c r="F561" s="10" t="s">
        <v>826</v>
      </c>
      <c r="G561" s="10" t="str" cm="1">
        <f t="array" ref="G561">+_xlfn.XLOOKUP(Tabla9[[#This Row],[ESPACIO ACADÉMICO DESTINO]]&amp;Tabla9[[#This Row],[PROGRAMA DESTINO]],Tabla49[ESPACIO ACADÉMICO DESTINO]&amp;Tabla49[PROGRAMA],Tabla49[CÓDIGO],"")</f>
        <v/>
      </c>
      <c r="H561" s="10"/>
      <c r="I561" s="14" t="str" cm="1">
        <f t="array" ref="I561">+_xlfn.XLOOKUP(Tabla9[[#This Row],[ESPACIO ACADÉMICO DESTINO]]&amp;Tabla9[[#This Row],[PROGRAMA DESTINO]],Tabla49[ESPACIO ACADÉMICO DESTINO]&amp;Tabla49[PROGRAMA],Tabla49[CRÉDITOS],"")</f>
        <v/>
      </c>
      <c r="J561" s="14"/>
      <c r="K561" s="10" t="s">
        <v>65</v>
      </c>
      <c r="X561" s="52" t="s">
        <v>85</v>
      </c>
      <c r="Y561" s="8">
        <v>15657</v>
      </c>
      <c r="Z561" s="8" t="s">
        <v>827</v>
      </c>
      <c r="AA561" s="8">
        <v>2</v>
      </c>
    </row>
    <row r="562" spans="3:27" ht="30" x14ac:dyDescent="0.25">
      <c r="C562" s="1" t="str">
        <f>_xlfn.XLOOKUP(Tabla9[[#This Row],[PROGRAMA ORIGEN]],PROGRAMAS_N[PROGRAMAS ORIGEN],PROGRAMAS_N[NIVEL],"")</f>
        <v>TECNÓLOGO</v>
      </c>
      <c r="D562" s="16" t="s">
        <v>141</v>
      </c>
      <c r="E562" s="14">
        <v>260101019</v>
      </c>
      <c r="F562" s="10" t="s">
        <v>828</v>
      </c>
      <c r="G562" s="10" t="str" cm="1">
        <f t="array" ref="G562">+_xlfn.XLOOKUP(Tabla9[[#This Row],[ESPACIO ACADÉMICO DESTINO]]&amp;Tabla9[[#This Row],[PROGRAMA DESTINO]],Tabla49[ESPACIO ACADÉMICO DESTINO]&amp;Tabla49[PROGRAMA],Tabla49[CÓDIGO],"")</f>
        <v/>
      </c>
      <c r="H562" s="10"/>
      <c r="I562" s="14" t="str" cm="1">
        <f t="array" ref="I562">+_xlfn.XLOOKUP(Tabla9[[#This Row],[ESPACIO ACADÉMICO DESTINO]]&amp;Tabla9[[#This Row],[PROGRAMA DESTINO]],Tabla49[ESPACIO ACADÉMICO DESTINO]&amp;Tabla49[PROGRAMA],Tabla49[CRÉDITOS],"")</f>
        <v/>
      </c>
      <c r="J562" s="14"/>
      <c r="K562" s="10" t="s">
        <v>65</v>
      </c>
      <c r="X562" s="52" t="s">
        <v>85</v>
      </c>
      <c r="Y562" s="8">
        <v>15653</v>
      </c>
      <c r="Z562" s="8" t="s">
        <v>829</v>
      </c>
      <c r="AA562" s="8">
        <v>2</v>
      </c>
    </row>
    <row r="563" spans="3:27" ht="30" x14ac:dyDescent="0.25">
      <c r="C563" s="1" t="str">
        <f>_xlfn.XLOOKUP(Tabla9[[#This Row],[PROGRAMA ORIGEN]],PROGRAMAS_N[PROGRAMAS ORIGEN],PROGRAMAS_N[NIVEL],"")</f>
        <v>TECNÓLOGO</v>
      </c>
      <c r="D563" s="16" t="s">
        <v>141</v>
      </c>
      <c r="E563" s="14">
        <v>260101001</v>
      </c>
      <c r="F563" s="10" t="s">
        <v>830</v>
      </c>
      <c r="G563" s="10" cm="1">
        <f t="array" ref="G563">+_xlfn.XLOOKUP(Tabla9[[#This Row],[ESPACIO ACADÉMICO DESTINO]]&amp;Tabla9[[#This Row],[PROGRAMA DESTINO]],Tabla49[ESPACIO ACADÉMICO DESTINO]&amp;Tabla49[PROGRAMA],Tabla49[CÓDIGO],"")</f>
        <v>30380</v>
      </c>
      <c r="H563" s="10" t="s">
        <v>550</v>
      </c>
      <c r="I563" s="14" cm="1">
        <f t="array" ref="I563">+_xlfn.XLOOKUP(Tabla9[[#This Row],[ESPACIO ACADÉMICO DESTINO]]&amp;Tabla9[[#This Row],[PROGRAMA DESTINO]],Tabla49[ESPACIO ACADÉMICO DESTINO]&amp;Tabla49[PROGRAMA],Tabla49[CRÉDITOS],"")</f>
        <v>3</v>
      </c>
      <c r="J563" s="14">
        <v>4.5</v>
      </c>
      <c r="K563" s="10" t="s">
        <v>65</v>
      </c>
      <c r="X563" s="52" t="s">
        <v>85</v>
      </c>
      <c r="Y563" s="8">
        <v>15070</v>
      </c>
      <c r="Z563" s="8" t="s">
        <v>274</v>
      </c>
      <c r="AA563" s="8">
        <v>3</v>
      </c>
    </row>
    <row r="564" spans="3:27" ht="30" x14ac:dyDescent="0.25">
      <c r="C564" s="1" t="str">
        <f>_xlfn.XLOOKUP(Tabla9[[#This Row],[PROGRAMA ORIGEN]],PROGRAMAS_N[PROGRAMAS ORIGEN],PROGRAMAS_N[NIVEL],"")</f>
        <v>TECNÓLOGO</v>
      </c>
      <c r="D564" s="16" t="s">
        <v>141</v>
      </c>
      <c r="E564" s="14">
        <v>260101009</v>
      </c>
      <c r="F564" s="10" t="s">
        <v>831</v>
      </c>
      <c r="G564" s="10" cm="1">
        <f t="array" ref="G564">+_xlfn.XLOOKUP(Tabla9[[#This Row],[ESPACIO ACADÉMICO DESTINO]]&amp;Tabla9[[#This Row],[PROGRAMA DESTINO]],Tabla49[ESPACIO ACADÉMICO DESTINO]&amp;Tabla49[PROGRAMA],Tabla49[CÓDIGO],"")</f>
        <v>30505</v>
      </c>
      <c r="H564" s="10" t="s">
        <v>576</v>
      </c>
      <c r="I564" s="14" cm="1">
        <f t="array" ref="I564">+_xlfn.XLOOKUP(Tabla9[[#This Row],[ESPACIO ACADÉMICO DESTINO]]&amp;Tabla9[[#This Row],[PROGRAMA DESTINO]],Tabla49[ESPACIO ACADÉMICO DESTINO]&amp;Tabla49[PROGRAMA],Tabla49[CRÉDITOS],"")</f>
        <v>2</v>
      </c>
      <c r="J564" s="14">
        <v>4.5</v>
      </c>
      <c r="K564" s="10" t="s">
        <v>65</v>
      </c>
      <c r="X564" s="52" t="s">
        <v>85</v>
      </c>
      <c r="Y564" s="8">
        <v>15015</v>
      </c>
      <c r="Z564" s="8" t="s">
        <v>832</v>
      </c>
      <c r="AA564" s="8">
        <v>3</v>
      </c>
    </row>
    <row r="565" spans="3:27" ht="30" x14ac:dyDescent="0.25">
      <c r="C565" s="1" t="str">
        <f>_xlfn.XLOOKUP(Tabla9[[#This Row],[PROGRAMA ORIGEN]],PROGRAMAS_N[PROGRAMAS ORIGEN],PROGRAMAS_N[NIVEL],"")</f>
        <v>TECNÓLOGO</v>
      </c>
      <c r="D565" s="16" t="s">
        <v>141</v>
      </c>
      <c r="E565" s="14">
        <v>260101011</v>
      </c>
      <c r="F565" s="10" t="s">
        <v>833</v>
      </c>
      <c r="G565" s="10" t="str" cm="1">
        <f t="array" ref="G565">+_xlfn.XLOOKUP(Tabla9[[#This Row],[ESPACIO ACADÉMICO DESTINO]]&amp;Tabla9[[#This Row],[PROGRAMA DESTINO]],Tabla49[ESPACIO ACADÉMICO DESTINO]&amp;Tabla49[PROGRAMA],Tabla49[CÓDIGO],"")</f>
        <v/>
      </c>
      <c r="H565" s="10"/>
      <c r="I565" s="14" t="str" cm="1">
        <f t="array" ref="I565">+_xlfn.XLOOKUP(Tabla9[[#This Row],[ESPACIO ACADÉMICO DESTINO]]&amp;Tabla9[[#This Row],[PROGRAMA DESTINO]],Tabla49[ESPACIO ACADÉMICO DESTINO]&amp;Tabla49[PROGRAMA],Tabla49[CRÉDITOS],"")</f>
        <v/>
      </c>
      <c r="J565" s="14"/>
      <c r="K565" s="10" t="s">
        <v>65</v>
      </c>
      <c r="X565" s="52" t="s">
        <v>85</v>
      </c>
      <c r="Y565" s="8">
        <v>15656</v>
      </c>
      <c r="Z565" s="8" t="s">
        <v>834</v>
      </c>
      <c r="AA565" s="8">
        <v>3</v>
      </c>
    </row>
    <row r="566" spans="3:27" ht="30" x14ac:dyDescent="0.25">
      <c r="C566" s="1" t="str">
        <f>_xlfn.XLOOKUP(Tabla9[[#This Row],[PROGRAMA ORIGEN]],PROGRAMAS_N[PROGRAMAS ORIGEN],PROGRAMAS_N[NIVEL],"")</f>
        <v>TECNÓLOGO</v>
      </c>
      <c r="D566" s="16" t="s">
        <v>141</v>
      </c>
      <c r="E566" s="14">
        <v>260101016</v>
      </c>
      <c r="F566" s="10" t="s">
        <v>835</v>
      </c>
      <c r="G566" s="10" t="str" cm="1">
        <f t="array" ref="G566">+_xlfn.XLOOKUP(Tabla9[[#This Row],[ESPACIO ACADÉMICO DESTINO]]&amp;Tabla9[[#This Row],[PROGRAMA DESTINO]],Tabla49[ESPACIO ACADÉMICO DESTINO]&amp;Tabla49[PROGRAMA],Tabla49[CÓDIGO],"")</f>
        <v/>
      </c>
      <c r="H566" s="10"/>
      <c r="I566" s="14" t="str" cm="1">
        <f t="array" ref="I566">+_xlfn.XLOOKUP(Tabla9[[#This Row],[ESPACIO ACADÉMICO DESTINO]]&amp;Tabla9[[#This Row],[PROGRAMA DESTINO]],Tabla49[ESPACIO ACADÉMICO DESTINO]&amp;Tabla49[PROGRAMA],Tabla49[CRÉDITOS],"")</f>
        <v/>
      </c>
      <c r="J566" s="14"/>
      <c r="K566" s="10" t="s">
        <v>65</v>
      </c>
      <c r="X566" s="52" t="s">
        <v>85</v>
      </c>
      <c r="Y566" s="8">
        <v>15658</v>
      </c>
      <c r="Z566" s="8" t="s">
        <v>160</v>
      </c>
      <c r="AA566" s="8">
        <v>2</v>
      </c>
    </row>
    <row r="567" spans="3:27" ht="30" x14ac:dyDescent="0.25">
      <c r="C567" s="1" t="str">
        <f>_xlfn.XLOOKUP(Tabla9[[#This Row],[PROGRAMA ORIGEN]],PROGRAMAS_N[PROGRAMAS ORIGEN],PROGRAMAS_N[NIVEL],"")</f>
        <v>TECNÓLOGO</v>
      </c>
      <c r="D567" s="16" t="s">
        <v>141</v>
      </c>
      <c r="E567" s="14">
        <v>260101024</v>
      </c>
      <c r="F567" s="10" t="s">
        <v>836</v>
      </c>
      <c r="G567" s="10" t="str" cm="1">
        <f t="array" ref="G567">+_xlfn.XLOOKUP(Tabla9[[#This Row],[ESPACIO ACADÉMICO DESTINO]]&amp;Tabla9[[#This Row],[PROGRAMA DESTINO]],Tabla49[ESPACIO ACADÉMICO DESTINO]&amp;Tabla49[PROGRAMA],Tabla49[CÓDIGO],"")</f>
        <v/>
      </c>
      <c r="H567" s="10"/>
      <c r="I567" s="14" t="str" cm="1">
        <f t="array" ref="I567">+_xlfn.XLOOKUP(Tabla9[[#This Row],[ESPACIO ACADÉMICO DESTINO]]&amp;Tabla9[[#This Row],[PROGRAMA DESTINO]],Tabla49[ESPACIO ACADÉMICO DESTINO]&amp;Tabla49[PROGRAMA],Tabla49[CRÉDITOS],"")</f>
        <v/>
      </c>
      <c r="J567" s="14"/>
      <c r="K567" s="10" t="s">
        <v>65</v>
      </c>
      <c r="X567" s="52" t="s">
        <v>85</v>
      </c>
      <c r="Y567" s="8">
        <v>15064</v>
      </c>
      <c r="Z567" s="8" t="s">
        <v>837</v>
      </c>
      <c r="AA567" s="8">
        <v>3</v>
      </c>
    </row>
    <row r="568" spans="3:27" ht="30" x14ac:dyDescent="0.25">
      <c r="C568" s="1" t="str">
        <f>_xlfn.XLOOKUP(Tabla9[[#This Row],[PROGRAMA ORIGEN]],PROGRAMAS_N[PROGRAMAS ORIGEN],PROGRAMAS_N[NIVEL],"")</f>
        <v>TECNÓLOGO</v>
      </c>
      <c r="D568" s="16" t="s">
        <v>141</v>
      </c>
      <c r="E568" s="14">
        <v>260101026</v>
      </c>
      <c r="F568" s="10" t="s">
        <v>838</v>
      </c>
      <c r="G568" s="10" t="str" cm="1">
        <f t="array" ref="G568">+_xlfn.XLOOKUP(Tabla9[[#This Row],[ESPACIO ACADÉMICO DESTINO]]&amp;Tabla9[[#This Row],[PROGRAMA DESTINO]],Tabla49[ESPACIO ACADÉMICO DESTINO]&amp;Tabla49[PROGRAMA],Tabla49[CÓDIGO],"")</f>
        <v/>
      </c>
      <c r="H568" s="10"/>
      <c r="I568" s="14" t="str" cm="1">
        <f t="array" ref="I568">+_xlfn.XLOOKUP(Tabla9[[#This Row],[ESPACIO ACADÉMICO DESTINO]]&amp;Tabla9[[#This Row],[PROGRAMA DESTINO]],Tabla49[ESPACIO ACADÉMICO DESTINO]&amp;Tabla49[PROGRAMA],Tabla49[CRÉDITOS],"")</f>
        <v/>
      </c>
      <c r="J568" s="14"/>
      <c r="K568" s="10" t="s">
        <v>65</v>
      </c>
      <c r="X568" s="52" t="s">
        <v>85</v>
      </c>
      <c r="Y568" s="8">
        <v>15654</v>
      </c>
      <c r="Z568" s="8" t="s">
        <v>839</v>
      </c>
      <c r="AA568" s="8">
        <v>2</v>
      </c>
    </row>
    <row r="569" spans="3:27" ht="30" x14ac:dyDescent="0.25">
      <c r="C569" s="1" t="str">
        <f>_xlfn.XLOOKUP(Tabla9[[#This Row],[PROGRAMA ORIGEN]],PROGRAMAS_N[PROGRAMAS ORIGEN],PROGRAMAS_N[NIVEL],"")</f>
        <v>TECNÓLOGO</v>
      </c>
      <c r="D569" s="16" t="s">
        <v>141</v>
      </c>
      <c r="E569" s="14">
        <v>260101020</v>
      </c>
      <c r="F569" s="10" t="s">
        <v>840</v>
      </c>
      <c r="G569" s="10" cm="1">
        <f t="array" ref="G569">+_xlfn.XLOOKUP(Tabla9[[#This Row],[ESPACIO ACADÉMICO DESTINO]]&amp;Tabla9[[#This Row],[PROGRAMA DESTINO]],Tabla49[ESPACIO ACADÉMICO DESTINO]&amp;Tabla49[PROGRAMA],Tabla49[CÓDIGO],"")</f>
        <v>30515</v>
      </c>
      <c r="H569" s="10" t="s">
        <v>588</v>
      </c>
      <c r="I569" s="14" cm="1">
        <f t="array" ref="I569">+_xlfn.XLOOKUP(Tabla9[[#This Row],[ESPACIO ACADÉMICO DESTINO]]&amp;Tabla9[[#This Row],[PROGRAMA DESTINO]],Tabla49[ESPACIO ACADÉMICO DESTINO]&amp;Tabla49[PROGRAMA],Tabla49[CRÉDITOS],"")</f>
        <v>3</v>
      </c>
      <c r="J569" s="14">
        <v>4.5</v>
      </c>
      <c r="K569" s="10" t="s">
        <v>65</v>
      </c>
      <c r="X569" s="52" t="s">
        <v>85</v>
      </c>
      <c r="Y569" s="8">
        <v>15017</v>
      </c>
      <c r="Z569" s="8" t="s">
        <v>841</v>
      </c>
      <c r="AA569" s="8">
        <v>2</v>
      </c>
    </row>
    <row r="570" spans="3:27" ht="30" x14ac:dyDescent="0.25">
      <c r="C570" s="1" t="str">
        <f>_xlfn.XLOOKUP(Tabla9[[#This Row],[PROGRAMA ORIGEN]],PROGRAMAS_N[PROGRAMAS ORIGEN],PROGRAMAS_N[NIVEL],"")</f>
        <v>TECNÓLOGO</v>
      </c>
      <c r="D570" s="16" t="s">
        <v>141</v>
      </c>
      <c r="E570" s="14">
        <v>260101016</v>
      </c>
      <c r="F570" s="10" t="s">
        <v>835</v>
      </c>
      <c r="G570" s="10" cm="1">
        <f t="array" ref="G570">+_xlfn.XLOOKUP(Tabla9[[#This Row],[ESPACIO ACADÉMICO DESTINO]]&amp;Tabla9[[#This Row],[PROGRAMA DESTINO]],Tabla49[ESPACIO ACADÉMICO DESTINO]&amp;Tabla49[PROGRAMA],Tabla49[CÓDIGO],"")</f>
        <v>30383</v>
      </c>
      <c r="H570" s="10" t="s">
        <v>555</v>
      </c>
      <c r="I570" s="14" cm="1">
        <f t="array" ref="I570">+_xlfn.XLOOKUP(Tabla9[[#This Row],[ESPACIO ACADÉMICO DESTINO]]&amp;Tabla9[[#This Row],[PROGRAMA DESTINO]],Tabla49[ESPACIO ACADÉMICO DESTINO]&amp;Tabla49[PROGRAMA],Tabla49[CRÉDITOS],"")</f>
        <v>3</v>
      </c>
      <c r="J570" s="14">
        <v>4.5</v>
      </c>
      <c r="K570" s="10" t="s">
        <v>65</v>
      </c>
      <c r="X570" s="52" t="s">
        <v>85</v>
      </c>
      <c r="Y570" s="8">
        <v>15073</v>
      </c>
      <c r="Z570" s="8" t="s">
        <v>634</v>
      </c>
      <c r="AA570" s="8">
        <v>3</v>
      </c>
    </row>
    <row r="571" spans="3:27" ht="30" x14ac:dyDescent="0.25">
      <c r="C571" s="10" t="str">
        <f>_xlfn.XLOOKUP(Tabla9[[#This Row],[PROGRAMA ORIGEN]],PROGRAMAS_N[PROGRAMAS ORIGEN],PROGRAMAS_N[NIVEL],"")</f>
        <v>TECNÓLOGO</v>
      </c>
      <c r="D571" s="16" t="s">
        <v>154</v>
      </c>
      <c r="E571" s="14">
        <v>240201500</v>
      </c>
      <c r="F571" s="10" t="s">
        <v>144</v>
      </c>
      <c r="G571" s="10" cm="1">
        <f t="array" ref="G571">+_xlfn.XLOOKUP(Tabla9[[#This Row],[ESPACIO ACADÉMICO DESTINO]]&amp;Tabla9[[#This Row],[PROGRAMA DESTINO]],Tabla49[ESPACIO ACADÉMICO DESTINO]&amp;Tabla49[PROGRAMA],Tabla49[CÓDIGO],"")</f>
        <v>30391</v>
      </c>
      <c r="H571" s="10" t="s">
        <v>565</v>
      </c>
      <c r="I571" s="14" cm="1">
        <f t="array" ref="I571">+_xlfn.XLOOKUP(Tabla9[[#This Row],[ESPACIO ACADÉMICO DESTINO]]&amp;Tabla9[[#This Row],[PROGRAMA DESTINO]],Tabla49[ESPACIO ACADÉMICO DESTINO]&amp;Tabla49[PROGRAMA],Tabla49[CRÉDITOS],"")</f>
        <v>2</v>
      </c>
      <c r="J571" s="14">
        <v>4.5</v>
      </c>
      <c r="K571" s="10" t="s">
        <v>65</v>
      </c>
      <c r="X571" s="52" t="s">
        <v>85</v>
      </c>
      <c r="Y571" s="8">
        <v>15029</v>
      </c>
      <c r="Z571" s="8" t="s">
        <v>90</v>
      </c>
      <c r="AA571" s="8">
        <v>2</v>
      </c>
    </row>
    <row r="572" spans="3:27" ht="30" x14ac:dyDescent="0.25">
      <c r="C572" s="1" t="str">
        <f>_xlfn.XLOOKUP(Tabla9[[#This Row],[PROGRAMA ORIGEN]],PROGRAMAS_N[PROGRAMAS ORIGEN],PROGRAMAS_N[NIVEL],"")</f>
        <v>TECNÓLOGO</v>
      </c>
      <c r="D572" s="16" t="s">
        <v>154</v>
      </c>
      <c r="E572" s="14">
        <v>210601001</v>
      </c>
      <c r="F572" s="10" t="s">
        <v>842</v>
      </c>
      <c r="G572" s="10" cm="1">
        <f t="array" ref="G572">+_xlfn.XLOOKUP(Tabla9[[#This Row],[ESPACIO ACADÉMICO DESTINO]]&amp;Tabla9[[#This Row],[PROGRAMA DESTINO]],Tabla49[ESPACIO ACADÉMICO DESTINO]&amp;Tabla49[PROGRAMA],Tabla49[CÓDIGO],"")</f>
        <v>30378</v>
      </c>
      <c r="H572" s="10" t="s">
        <v>56</v>
      </c>
      <c r="I572" s="14" cm="1">
        <f t="array" ref="I572">+_xlfn.XLOOKUP(Tabla9[[#This Row],[ESPACIO ACADÉMICO DESTINO]]&amp;Tabla9[[#This Row],[PROGRAMA DESTINO]],Tabla49[ESPACIO ACADÉMICO DESTINO]&amp;Tabla49[PROGRAMA],Tabla49[CRÉDITOS],"")</f>
        <v>2</v>
      </c>
      <c r="J572" s="14">
        <v>4.5</v>
      </c>
      <c r="K572" s="10" t="s">
        <v>65</v>
      </c>
      <c r="X572" s="52" t="s">
        <v>85</v>
      </c>
      <c r="Y572" s="8">
        <v>15071</v>
      </c>
      <c r="Z572" s="8" t="s">
        <v>156</v>
      </c>
      <c r="AA572" s="8">
        <v>3</v>
      </c>
    </row>
    <row r="573" spans="3:27" ht="30" x14ac:dyDescent="0.25">
      <c r="C573" s="1" t="str">
        <f>_xlfn.XLOOKUP(Tabla9[[#This Row],[PROGRAMA ORIGEN]],PROGRAMAS_N[PROGRAMAS ORIGEN],PROGRAMAS_N[NIVEL],"")</f>
        <v>TECNÓLOGO</v>
      </c>
      <c r="D573" s="16" t="s">
        <v>154</v>
      </c>
      <c r="E573" s="14">
        <v>210601003</v>
      </c>
      <c r="F573" s="10" t="s">
        <v>843</v>
      </c>
      <c r="G573" s="10" cm="1">
        <f t="array" ref="G573">+_xlfn.XLOOKUP(Tabla9[[#This Row],[ESPACIO ACADÉMICO DESTINO]]&amp;Tabla9[[#This Row],[PROGRAMA DESTINO]],Tabla49[ESPACIO ACADÉMICO DESTINO]&amp;Tabla49[PROGRAMA],Tabla49[CÓDIGO],"")</f>
        <v>30383</v>
      </c>
      <c r="H573" s="10" t="s">
        <v>555</v>
      </c>
      <c r="I573" s="14" cm="1">
        <f t="array" ref="I573">+_xlfn.XLOOKUP(Tabla9[[#This Row],[ESPACIO ACADÉMICO DESTINO]]&amp;Tabla9[[#This Row],[PROGRAMA DESTINO]],Tabla49[ESPACIO ACADÉMICO DESTINO]&amp;Tabla49[PROGRAMA],Tabla49[CRÉDITOS],"")</f>
        <v>3</v>
      </c>
      <c r="J573" s="14">
        <v>4.5</v>
      </c>
      <c r="K573" s="10" t="s">
        <v>65</v>
      </c>
      <c r="X573" s="52" t="s">
        <v>85</v>
      </c>
      <c r="Y573" s="8">
        <v>15674</v>
      </c>
      <c r="Z573" s="8" t="s">
        <v>285</v>
      </c>
      <c r="AA573" s="8">
        <v>3</v>
      </c>
    </row>
    <row r="574" spans="3:27" ht="30" x14ac:dyDescent="0.25">
      <c r="C574" s="1" t="str">
        <f>_xlfn.XLOOKUP(Tabla9[[#This Row],[PROGRAMA ORIGEN]],PROGRAMAS_N[PROGRAMAS ORIGEN],PROGRAMAS_N[NIVEL],"")</f>
        <v>TECNÓLOGO</v>
      </c>
      <c r="D574" s="16" t="s">
        <v>154</v>
      </c>
      <c r="E574" s="14">
        <v>210601008</v>
      </c>
      <c r="F574" s="10" t="s">
        <v>844</v>
      </c>
      <c r="G574" s="10" t="str" cm="1">
        <f t="array" ref="G574">+_xlfn.XLOOKUP(Tabla9[[#This Row],[ESPACIO ACADÉMICO DESTINO]]&amp;Tabla9[[#This Row],[PROGRAMA DESTINO]],Tabla49[ESPACIO ACADÉMICO DESTINO]&amp;Tabla49[PROGRAMA],Tabla49[CÓDIGO],"")</f>
        <v/>
      </c>
      <c r="H574" s="10"/>
      <c r="I574" s="14" t="str" cm="1">
        <f t="array" ref="I574">+_xlfn.XLOOKUP(Tabla9[[#This Row],[ESPACIO ACADÉMICO DESTINO]]&amp;Tabla9[[#This Row],[PROGRAMA DESTINO]],Tabla49[ESPACIO ACADÉMICO DESTINO]&amp;Tabla49[PROGRAMA],Tabla49[CRÉDITOS],"")</f>
        <v/>
      </c>
      <c r="J574" s="14"/>
      <c r="K574" s="10" t="s">
        <v>65</v>
      </c>
      <c r="X574" s="52" t="s">
        <v>85</v>
      </c>
      <c r="Y574" s="8">
        <v>15048</v>
      </c>
      <c r="Z574" s="8" t="s">
        <v>845</v>
      </c>
      <c r="AA574" s="8">
        <v>2</v>
      </c>
    </row>
    <row r="575" spans="3:27" ht="30" x14ac:dyDescent="0.25">
      <c r="C575" s="1" t="str">
        <f>_xlfn.XLOOKUP(Tabla9[[#This Row],[PROGRAMA ORIGEN]],PROGRAMAS_N[PROGRAMAS ORIGEN],PROGRAMAS_N[NIVEL],"")</f>
        <v>TECNÓLOGO</v>
      </c>
      <c r="D575" s="16" t="s">
        <v>154</v>
      </c>
      <c r="E575" s="14">
        <v>210601012</v>
      </c>
      <c r="F575" s="10" t="s">
        <v>846</v>
      </c>
      <c r="G575" s="10" t="str" cm="1">
        <f t="array" ref="G575">+_xlfn.XLOOKUP(Tabla9[[#This Row],[ESPACIO ACADÉMICO DESTINO]]&amp;Tabla9[[#This Row],[PROGRAMA DESTINO]],Tabla49[ESPACIO ACADÉMICO DESTINO]&amp;Tabla49[PROGRAMA],Tabla49[CÓDIGO],"")</f>
        <v/>
      </c>
      <c r="H575" s="10"/>
      <c r="I575" s="14" t="str" cm="1">
        <f t="array" ref="I575">+_xlfn.XLOOKUP(Tabla9[[#This Row],[ESPACIO ACADÉMICO DESTINO]]&amp;Tabla9[[#This Row],[PROGRAMA DESTINO]],Tabla49[ESPACIO ACADÉMICO DESTINO]&amp;Tabla49[PROGRAMA],Tabla49[CRÉDITOS],"")</f>
        <v/>
      </c>
      <c r="J575" s="14"/>
      <c r="K575" s="10" t="s">
        <v>65</v>
      </c>
      <c r="X575" s="52" t="s">
        <v>85</v>
      </c>
      <c r="Y575" s="8">
        <v>15027</v>
      </c>
      <c r="Z575" s="8" t="s">
        <v>299</v>
      </c>
      <c r="AA575" s="8">
        <v>2</v>
      </c>
    </row>
    <row r="576" spans="3:27" ht="30" x14ac:dyDescent="0.25">
      <c r="C576" s="1" t="str">
        <f>_xlfn.XLOOKUP(Tabla9[[#This Row],[PROGRAMA ORIGEN]],PROGRAMAS_N[PROGRAMAS ORIGEN],PROGRAMAS_N[NIVEL],"")</f>
        <v>TECNÓLOGO</v>
      </c>
      <c r="D576" s="16" t="s">
        <v>154</v>
      </c>
      <c r="E576" s="14">
        <v>210601011</v>
      </c>
      <c r="F576" s="10" t="s">
        <v>847</v>
      </c>
      <c r="G576" s="10" t="str" cm="1">
        <f t="array" ref="G576">+_xlfn.XLOOKUP(Tabla9[[#This Row],[ESPACIO ACADÉMICO DESTINO]]&amp;Tabla9[[#This Row],[PROGRAMA DESTINO]],Tabla49[ESPACIO ACADÉMICO DESTINO]&amp;Tabla49[PROGRAMA],Tabla49[CÓDIGO],"")</f>
        <v/>
      </c>
      <c r="H576" s="10"/>
      <c r="I576" s="14" t="str" cm="1">
        <f t="array" ref="I576">+_xlfn.XLOOKUP(Tabla9[[#This Row],[ESPACIO ACADÉMICO DESTINO]]&amp;Tabla9[[#This Row],[PROGRAMA DESTINO]],Tabla49[ESPACIO ACADÉMICO DESTINO]&amp;Tabla49[PROGRAMA],Tabla49[CRÉDITOS],"")</f>
        <v/>
      </c>
      <c r="J576" s="14"/>
      <c r="K576" s="10" t="s">
        <v>65</v>
      </c>
      <c r="X576" s="52" t="s">
        <v>85</v>
      </c>
      <c r="Y576" s="8">
        <v>15659</v>
      </c>
      <c r="Z576" s="8" t="s">
        <v>848</v>
      </c>
      <c r="AA576" s="8">
        <v>3</v>
      </c>
    </row>
    <row r="577" spans="3:27" ht="30" x14ac:dyDescent="0.25">
      <c r="C577" s="1" t="str">
        <f>_xlfn.XLOOKUP(Tabla9[[#This Row],[PROGRAMA ORIGEN]],PROGRAMAS_N[PROGRAMAS ORIGEN],PROGRAMAS_N[NIVEL],"")</f>
        <v>TECNÓLOGO</v>
      </c>
      <c r="D577" s="16" t="s">
        <v>154</v>
      </c>
      <c r="E577" s="14">
        <v>210601010</v>
      </c>
      <c r="F577" s="10" t="s">
        <v>849</v>
      </c>
      <c r="G577" s="10" t="str" cm="1">
        <f t="array" ref="G577">+_xlfn.XLOOKUP(Tabla9[[#This Row],[ESPACIO ACADÉMICO DESTINO]]&amp;Tabla9[[#This Row],[PROGRAMA DESTINO]],Tabla49[ESPACIO ACADÉMICO DESTINO]&amp;Tabla49[PROGRAMA],Tabla49[CÓDIGO],"")</f>
        <v/>
      </c>
      <c r="H577" s="10"/>
      <c r="I577" s="14" t="str" cm="1">
        <f t="array" ref="I577">+_xlfn.XLOOKUP(Tabla9[[#This Row],[ESPACIO ACADÉMICO DESTINO]]&amp;Tabla9[[#This Row],[PROGRAMA DESTINO]],Tabla49[ESPACIO ACADÉMICO DESTINO]&amp;Tabla49[PROGRAMA],Tabla49[CRÉDITOS],"")</f>
        <v/>
      </c>
      <c r="J577" s="14"/>
      <c r="K577" s="10" t="s">
        <v>65</v>
      </c>
      <c r="X577" s="52" t="s">
        <v>85</v>
      </c>
      <c r="Y577" s="8">
        <v>15655</v>
      </c>
      <c r="Z577" s="8" t="s">
        <v>850</v>
      </c>
      <c r="AA577" s="8">
        <v>2</v>
      </c>
    </row>
    <row r="578" spans="3:27" ht="30" x14ac:dyDescent="0.25">
      <c r="C578" s="1" t="str">
        <f>_xlfn.XLOOKUP(Tabla9[[#This Row],[PROGRAMA ORIGEN]],PROGRAMAS_N[PROGRAMAS ORIGEN],PROGRAMAS_N[NIVEL],"")</f>
        <v>TECNÓLOGO</v>
      </c>
      <c r="D578" s="16" t="s">
        <v>154</v>
      </c>
      <c r="E578" s="14">
        <v>210601007</v>
      </c>
      <c r="F578" s="10" t="s">
        <v>851</v>
      </c>
      <c r="G578" s="10" cm="1">
        <f t="array" ref="G578">+_xlfn.XLOOKUP(Tabla9[[#This Row],[ESPACIO ACADÉMICO DESTINO]]&amp;Tabla9[[#This Row],[PROGRAMA DESTINO]],Tabla49[ESPACIO ACADÉMICO DESTINO]&amp;Tabla49[PROGRAMA],Tabla49[CÓDIGO],"")</f>
        <v>30515</v>
      </c>
      <c r="H578" s="10" t="s">
        <v>588</v>
      </c>
      <c r="I578" s="14" cm="1">
        <f t="array" ref="I578">+_xlfn.XLOOKUP(Tabla9[[#This Row],[ESPACIO ACADÉMICO DESTINO]]&amp;Tabla9[[#This Row],[PROGRAMA DESTINO]],Tabla49[ESPACIO ACADÉMICO DESTINO]&amp;Tabla49[PROGRAMA],Tabla49[CRÉDITOS],"")</f>
        <v>3</v>
      </c>
      <c r="J578" s="14">
        <v>4.5</v>
      </c>
      <c r="K578" s="10" t="s">
        <v>65</v>
      </c>
      <c r="X578" s="52" t="s">
        <v>85</v>
      </c>
      <c r="Y578" s="8">
        <v>15675</v>
      </c>
      <c r="Z578" s="8" t="s">
        <v>184</v>
      </c>
      <c r="AA578" s="8">
        <v>2</v>
      </c>
    </row>
    <row r="579" spans="3:27" ht="30" x14ac:dyDescent="0.25">
      <c r="C579" s="1" t="str">
        <f>_xlfn.XLOOKUP(Tabla9[[#This Row],[PROGRAMA ORIGEN]],PROGRAMAS_N[PROGRAMAS ORIGEN],PROGRAMAS_N[NIVEL],"")</f>
        <v>TECNÓLOGO</v>
      </c>
      <c r="D579" s="16" t="s">
        <v>154</v>
      </c>
      <c r="E579" s="14">
        <v>210601006</v>
      </c>
      <c r="F579" s="10" t="s">
        <v>852</v>
      </c>
      <c r="G579" s="10" t="str" cm="1">
        <f t="array" ref="G579">+_xlfn.XLOOKUP(Tabla9[[#This Row],[ESPACIO ACADÉMICO DESTINO]]&amp;Tabla9[[#This Row],[PROGRAMA DESTINO]],Tabla49[ESPACIO ACADÉMICO DESTINO]&amp;Tabla49[PROGRAMA],Tabla49[CÓDIGO],"")</f>
        <v/>
      </c>
      <c r="H579" s="10"/>
      <c r="I579" s="14" t="str" cm="1">
        <f t="array" ref="I579">+_xlfn.XLOOKUP(Tabla9[[#This Row],[ESPACIO ACADÉMICO DESTINO]]&amp;Tabla9[[#This Row],[PROGRAMA DESTINO]],Tabla49[ESPACIO ACADÉMICO DESTINO]&amp;Tabla49[PROGRAMA],Tabla49[CRÉDITOS],"")</f>
        <v/>
      </c>
      <c r="J579" s="14"/>
      <c r="K579" s="10" t="s">
        <v>65</v>
      </c>
      <c r="X579" s="52" t="s">
        <v>85</v>
      </c>
      <c r="Y579" s="8">
        <v>15054</v>
      </c>
      <c r="Z579" s="8" t="s">
        <v>297</v>
      </c>
      <c r="AA579" s="8">
        <v>2</v>
      </c>
    </row>
    <row r="580" spans="3:27" ht="30" x14ac:dyDescent="0.25">
      <c r="C580" s="1" t="str">
        <f>_xlfn.XLOOKUP(Tabla9[[#This Row],[PROGRAMA ORIGEN]],PROGRAMAS_N[PROGRAMAS ORIGEN],PROGRAMAS_N[NIVEL],"")</f>
        <v>TECNÓLOGO</v>
      </c>
      <c r="D580" s="16" t="s">
        <v>154</v>
      </c>
      <c r="E580" s="14">
        <v>210601013</v>
      </c>
      <c r="F580" s="10" t="s">
        <v>598</v>
      </c>
      <c r="G580" s="10" cm="1">
        <f t="array" ref="G580">+_xlfn.XLOOKUP(Tabla9[[#This Row],[ESPACIO ACADÉMICO DESTINO]]&amp;Tabla9[[#This Row],[PROGRAMA DESTINO]],Tabla49[ESPACIO ACADÉMICO DESTINO]&amp;Tabla49[PROGRAMA],Tabla49[CÓDIGO],"")</f>
        <v>30381</v>
      </c>
      <c r="H580" s="10" t="s">
        <v>552</v>
      </c>
      <c r="I580" s="14" cm="1">
        <f t="array" ref="I580">+_xlfn.XLOOKUP(Tabla9[[#This Row],[ESPACIO ACADÉMICO DESTINO]]&amp;Tabla9[[#This Row],[PROGRAMA DESTINO]],Tabla49[ESPACIO ACADÉMICO DESTINO]&amp;Tabla49[PROGRAMA],Tabla49[CRÉDITOS],"")</f>
        <v>3</v>
      </c>
      <c r="J580" s="14">
        <v>4.5</v>
      </c>
      <c r="K580" s="10" t="s">
        <v>65</v>
      </c>
      <c r="X580" s="52" t="s">
        <v>85</v>
      </c>
      <c r="Y580" s="8">
        <v>15075</v>
      </c>
      <c r="Z580" s="8" t="s">
        <v>287</v>
      </c>
      <c r="AA580" s="8">
        <v>3</v>
      </c>
    </row>
    <row r="581" spans="3:27" ht="30" x14ac:dyDescent="0.25">
      <c r="C581" s="10" t="str">
        <f>_xlfn.XLOOKUP(Tabla9[[#This Row],[PROGRAMA ORIGEN]],PROGRAMAS_N[PROGRAMAS ORIGEN],PROGRAMAS_N[NIVEL],"")</f>
        <v>TECNÓLOGO</v>
      </c>
      <c r="D581" s="16" t="s">
        <v>158</v>
      </c>
      <c r="E581" s="14">
        <v>240201500</v>
      </c>
      <c r="F581" s="10" t="s">
        <v>144</v>
      </c>
      <c r="G581" s="10" cm="1">
        <f t="array" ref="G581">+_xlfn.XLOOKUP(Tabla9[[#This Row],[ESPACIO ACADÉMICO DESTINO]]&amp;Tabla9[[#This Row],[PROGRAMA DESTINO]],Tabla49[ESPACIO ACADÉMICO DESTINO]&amp;Tabla49[PROGRAMA],Tabla49[CÓDIGO],"")</f>
        <v>30391</v>
      </c>
      <c r="H581" s="10" t="s">
        <v>565</v>
      </c>
      <c r="I581" s="14" cm="1">
        <f t="array" ref="I581">+_xlfn.XLOOKUP(Tabla9[[#This Row],[ESPACIO ACADÉMICO DESTINO]]&amp;Tabla9[[#This Row],[PROGRAMA DESTINO]],Tabla49[ESPACIO ACADÉMICO DESTINO]&amp;Tabla49[PROGRAMA],Tabla49[CRÉDITOS],"")</f>
        <v>2</v>
      </c>
      <c r="J581" s="14">
        <v>4.5</v>
      </c>
      <c r="K581" s="10" t="s">
        <v>65</v>
      </c>
      <c r="X581" s="52" t="s">
        <v>85</v>
      </c>
      <c r="Y581" s="8">
        <v>15051</v>
      </c>
      <c r="Z581" s="8" t="s">
        <v>853</v>
      </c>
      <c r="AA581" s="8">
        <v>3</v>
      </c>
    </row>
    <row r="582" spans="3:27" ht="30" x14ac:dyDescent="0.25">
      <c r="C582" s="1" t="str">
        <f>_xlfn.XLOOKUP(Tabla9[[#This Row],[PROGRAMA ORIGEN]],PROGRAMAS_N[PROGRAMAS ORIGEN],PROGRAMAS_N[NIVEL],"")</f>
        <v>TECNÓLOGO</v>
      </c>
      <c r="D582" s="16" t="s">
        <v>158</v>
      </c>
      <c r="E582" s="14">
        <v>210601007</v>
      </c>
      <c r="F582" s="10" t="s">
        <v>851</v>
      </c>
      <c r="G582" s="10" cm="1">
        <f t="array" ref="G582">+_xlfn.XLOOKUP(Tabla9[[#This Row],[ESPACIO ACADÉMICO DESTINO]]&amp;Tabla9[[#This Row],[PROGRAMA DESTINO]],Tabla49[ESPACIO ACADÉMICO DESTINO]&amp;Tabla49[PROGRAMA],Tabla49[CÓDIGO],"")</f>
        <v>30515</v>
      </c>
      <c r="H582" s="10" t="s">
        <v>588</v>
      </c>
      <c r="I582" s="14" cm="1">
        <f t="array" ref="I582">+_xlfn.XLOOKUP(Tabla9[[#This Row],[ESPACIO ACADÉMICO DESTINO]]&amp;Tabla9[[#This Row],[PROGRAMA DESTINO]],Tabla49[ESPACIO ACADÉMICO DESTINO]&amp;Tabla49[PROGRAMA],Tabla49[CRÉDITOS],"")</f>
        <v>3</v>
      </c>
      <c r="J582" s="14">
        <v>4.5</v>
      </c>
      <c r="K582" s="10" t="s">
        <v>65</v>
      </c>
      <c r="X582" s="52" t="s">
        <v>85</v>
      </c>
      <c r="Y582" s="8">
        <v>15676</v>
      </c>
      <c r="Z582" s="8" t="s">
        <v>268</v>
      </c>
      <c r="AA582" s="8">
        <v>3</v>
      </c>
    </row>
    <row r="583" spans="3:27" ht="30" x14ac:dyDescent="0.25">
      <c r="C583" s="1" t="str">
        <f>_xlfn.XLOOKUP(Tabla9[[#This Row],[PROGRAMA ORIGEN]],PROGRAMAS_N[PROGRAMAS ORIGEN],PROGRAMAS_N[NIVEL],"")</f>
        <v>TECNÓLOGO</v>
      </c>
      <c r="D583" s="16" t="s">
        <v>158</v>
      </c>
      <c r="E583" s="14">
        <v>210301002</v>
      </c>
      <c r="F583" s="10" t="s">
        <v>854</v>
      </c>
      <c r="G583" s="10" cm="1">
        <f t="array" ref="G583">+_xlfn.XLOOKUP(Tabla9[[#This Row],[ESPACIO ACADÉMICO DESTINO]]&amp;Tabla9[[#This Row],[PROGRAMA DESTINO]],Tabla49[ESPACIO ACADÉMICO DESTINO]&amp;Tabla49[PROGRAMA],Tabla49[CÓDIGO],"")</f>
        <v>30396</v>
      </c>
      <c r="H583" s="10" t="s">
        <v>408</v>
      </c>
      <c r="I583" s="14" cm="1">
        <f t="array" ref="I583">+_xlfn.XLOOKUP(Tabla9[[#This Row],[ESPACIO ACADÉMICO DESTINO]]&amp;Tabla9[[#This Row],[PROGRAMA DESTINO]],Tabla49[ESPACIO ACADÉMICO DESTINO]&amp;Tabla49[PROGRAMA],Tabla49[CRÉDITOS],"")</f>
        <v>3</v>
      </c>
      <c r="J583" s="14">
        <v>4.5</v>
      </c>
      <c r="K583" s="10" t="s">
        <v>65</v>
      </c>
      <c r="X583" s="52" t="s">
        <v>85</v>
      </c>
      <c r="Y583" s="8">
        <v>15079</v>
      </c>
      <c r="Z583" s="8" t="s">
        <v>283</v>
      </c>
      <c r="AA583" s="8">
        <v>3</v>
      </c>
    </row>
    <row r="584" spans="3:27" ht="30" x14ac:dyDescent="0.25">
      <c r="C584" s="1" t="str">
        <f>_xlfn.XLOOKUP(Tabla9[[#This Row],[PROGRAMA ORIGEN]],PROGRAMAS_N[PROGRAMAS ORIGEN],PROGRAMAS_N[NIVEL],"")</f>
        <v>TECNÓLOGO</v>
      </c>
      <c r="D584" s="16" t="s">
        <v>158</v>
      </c>
      <c r="E584" s="14">
        <v>210301004</v>
      </c>
      <c r="F584" s="10" t="s">
        <v>855</v>
      </c>
      <c r="G584" s="10" t="str" cm="1">
        <f t="array" ref="G584">+_xlfn.XLOOKUP(Tabla9[[#This Row],[ESPACIO ACADÉMICO DESTINO]]&amp;Tabla9[[#This Row],[PROGRAMA DESTINO]],Tabla49[ESPACIO ACADÉMICO DESTINO]&amp;Tabla49[PROGRAMA],Tabla49[CÓDIGO],"")</f>
        <v/>
      </c>
      <c r="H584" s="10"/>
      <c r="I584" s="14" t="str" cm="1">
        <f t="array" ref="I584">+_xlfn.XLOOKUP(Tabla9[[#This Row],[ESPACIO ACADÉMICO DESTINO]]&amp;Tabla9[[#This Row],[PROGRAMA DESTINO]],Tabla49[ESPACIO ACADÉMICO DESTINO]&amp;Tabla49[PROGRAMA],Tabla49[CRÉDITOS],"")</f>
        <v/>
      </c>
      <c r="J584" s="14"/>
      <c r="K584" s="10" t="s">
        <v>65</v>
      </c>
      <c r="X584" s="52" t="s">
        <v>85</v>
      </c>
      <c r="Y584" s="8">
        <v>15052</v>
      </c>
      <c r="Z584" s="8" t="s">
        <v>573</v>
      </c>
      <c r="AA584" s="8">
        <v>2</v>
      </c>
    </row>
    <row r="585" spans="3:27" ht="30" x14ac:dyDescent="0.25">
      <c r="C585" s="1" t="str">
        <f>_xlfn.XLOOKUP(Tabla9[[#This Row],[PROGRAMA ORIGEN]],PROGRAMAS_N[PROGRAMAS ORIGEN],PROGRAMAS_N[NIVEL],"")</f>
        <v>TECNÓLOGO</v>
      </c>
      <c r="D585" s="16" t="s">
        <v>158</v>
      </c>
      <c r="E585" s="14">
        <v>210301003</v>
      </c>
      <c r="F585" s="10" t="s">
        <v>856</v>
      </c>
      <c r="G585" s="10" cm="1">
        <f t="array" ref="G585">+_xlfn.XLOOKUP(Tabla9[[#This Row],[ESPACIO ACADÉMICO DESTINO]]&amp;Tabla9[[#This Row],[PROGRAMA DESTINO]],Tabla49[ESPACIO ACADÉMICO DESTINO]&amp;Tabla49[PROGRAMA],Tabla49[CÓDIGO],"")</f>
        <v>30381</v>
      </c>
      <c r="H585" s="10" t="s">
        <v>552</v>
      </c>
      <c r="I585" s="14" cm="1">
        <f t="array" ref="I585">+_xlfn.XLOOKUP(Tabla9[[#This Row],[ESPACIO ACADÉMICO DESTINO]]&amp;Tabla9[[#This Row],[PROGRAMA DESTINO]],Tabla49[ESPACIO ACADÉMICO DESTINO]&amp;Tabla49[PROGRAMA],Tabla49[CRÉDITOS],"")</f>
        <v>3</v>
      </c>
      <c r="J585" s="14">
        <v>4.5</v>
      </c>
      <c r="K585" s="10" t="s">
        <v>65</v>
      </c>
      <c r="X585" s="52" t="s">
        <v>85</v>
      </c>
      <c r="Y585" s="8">
        <v>15679</v>
      </c>
      <c r="Z585" s="8" t="s">
        <v>857</v>
      </c>
      <c r="AA585" s="8">
        <v>2</v>
      </c>
    </row>
    <row r="586" spans="3:27" ht="30" x14ac:dyDescent="0.25">
      <c r="C586" s="1" t="str">
        <f>_xlfn.XLOOKUP(Tabla9[[#This Row],[PROGRAMA ORIGEN]],PROGRAMAS_N[PROGRAMAS ORIGEN],PROGRAMAS_N[NIVEL],"")</f>
        <v>TECNÓLOGO</v>
      </c>
      <c r="D586" s="16" t="s">
        <v>158</v>
      </c>
      <c r="E586" s="14">
        <v>210301016</v>
      </c>
      <c r="F586" s="10" t="s">
        <v>858</v>
      </c>
      <c r="G586" s="10" t="str" cm="1">
        <f t="array" ref="G586">+_xlfn.XLOOKUP(Tabla9[[#This Row],[ESPACIO ACADÉMICO DESTINO]]&amp;Tabla9[[#This Row],[PROGRAMA DESTINO]],Tabla49[ESPACIO ACADÉMICO DESTINO]&amp;Tabla49[PROGRAMA],Tabla49[CÓDIGO],"")</f>
        <v/>
      </c>
      <c r="H586" s="10"/>
      <c r="I586" s="14" t="str" cm="1">
        <f t="array" ref="I586">+_xlfn.XLOOKUP(Tabla9[[#This Row],[ESPACIO ACADÉMICO DESTINO]]&amp;Tabla9[[#This Row],[PROGRAMA DESTINO]],Tabla49[ESPACIO ACADÉMICO DESTINO]&amp;Tabla49[PROGRAMA],Tabla49[CRÉDITOS],"")</f>
        <v/>
      </c>
      <c r="J586" s="14"/>
      <c r="K586" s="10" t="s">
        <v>65</v>
      </c>
      <c r="X586" s="52" t="s">
        <v>85</v>
      </c>
      <c r="Y586" s="8">
        <v>15680</v>
      </c>
      <c r="Z586" s="8" t="s">
        <v>859</v>
      </c>
      <c r="AA586" s="8">
        <v>3</v>
      </c>
    </row>
    <row r="587" spans="3:27" ht="30" x14ac:dyDescent="0.25">
      <c r="C587" s="1" t="str">
        <f>_xlfn.XLOOKUP(Tabla9[[#This Row],[PROGRAMA ORIGEN]],PROGRAMAS_N[PROGRAMAS ORIGEN],PROGRAMAS_N[NIVEL],"")</f>
        <v>TECNÓLOGO</v>
      </c>
      <c r="D587" s="16" t="s">
        <v>158</v>
      </c>
      <c r="E587" s="14">
        <v>210301056</v>
      </c>
      <c r="F587" s="10" t="s">
        <v>860</v>
      </c>
      <c r="G587" s="10" t="str" cm="1">
        <f t="array" ref="G587">+_xlfn.XLOOKUP(Tabla9[[#This Row],[ESPACIO ACADÉMICO DESTINO]]&amp;Tabla9[[#This Row],[PROGRAMA DESTINO]],Tabla49[ESPACIO ACADÉMICO DESTINO]&amp;Tabla49[PROGRAMA],Tabla49[CÓDIGO],"")</f>
        <v/>
      </c>
      <c r="H587" s="10"/>
      <c r="I587" s="14" t="str" cm="1">
        <f t="array" ref="I587">+_xlfn.XLOOKUP(Tabla9[[#This Row],[ESPACIO ACADÉMICO DESTINO]]&amp;Tabla9[[#This Row],[PROGRAMA DESTINO]],Tabla49[ESPACIO ACADÉMICO DESTINO]&amp;Tabla49[PROGRAMA],Tabla49[CRÉDITOS],"")</f>
        <v/>
      </c>
      <c r="J587" s="14"/>
      <c r="K587" s="10" t="s">
        <v>65</v>
      </c>
      <c r="X587" s="52" t="s">
        <v>85</v>
      </c>
      <c r="Y587" s="8">
        <v>15677</v>
      </c>
      <c r="Z587" s="8" t="s">
        <v>861</v>
      </c>
      <c r="AA587" s="8">
        <v>2</v>
      </c>
    </row>
    <row r="588" spans="3:27" ht="30" x14ac:dyDescent="0.25">
      <c r="C588" s="1" t="str">
        <f>_xlfn.XLOOKUP(Tabla9[[#This Row],[PROGRAMA ORIGEN]],PROGRAMAS_N[PROGRAMAS ORIGEN],PROGRAMAS_N[NIVEL],"")</f>
        <v>TECNÓLOGO</v>
      </c>
      <c r="D588" s="16" t="s">
        <v>158</v>
      </c>
      <c r="E588" s="14">
        <v>210601012</v>
      </c>
      <c r="F588" s="10" t="s">
        <v>846</v>
      </c>
      <c r="G588" s="10" t="str" cm="1">
        <f t="array" ref="G588">+_xlfn.XLOOKUP(Tabla9[[#This Row],[ESPACIO ACADÉMICO DESTINO]]&amp;Tabla9[[#This Row],[PROGRAMA DESTINO]],Tabla49[ESPACIO ACADÉMICO DESTINO]&amp;Tabla49[PROGRAMA],Tabla49[CÓDIGO],"")</f>
        <v/>
      </c>
      <c r="H588" s="10"/>
      <c r="I588" s="14" t="str" cm="1">
        <f t="array" ref="I588">+_xlfn.XLOOKUP(Tabla9[[#This Row],[ESPACIO ACADÉMICO DESTINO]]&amp;Tabla9[[#This Row],[PROGRAMA DESTINO]],Tabla49[ESPACIO ACADÉMICO DESTINO]&amp;Tabla49[PROGRAMA],Tabla49[CRÉDITOS],"")</f>
        <v/>
      </c>
      <c r="J588" s="14"/>
      <c r="K588" s="10" t="s">
        <v>65</v>
      </c>
      <c r="X588" s="52" t="s">
        <v>85</v>
      </c>
      <c r="Y588" s="8">
        <v>15046</v>
      </c>
      <c r="Z588" s="8" t="s">
        <v>269</v>
      </c>
      <c r="AA588" s="8">
        <v>2</v>
      </c>
    </row>
    <row r="589" spans="3:27" ht="30" x14ac:dyDescent="0.25">
      <c r="C589" s="1" t="str">
        <f>_xlfn.XLOOKUP(Tabla9[[#This Row],[PROGRAMA ORIGEN]],PROGRAMAS_N[PROGRAMAS ORIGEN],PROGRAMAS_N[NIVEL],"")</f>
        <v>TECNÓLOGO</v>
      </c>
      <c r="D589" s="16" t="s">
        <v>158</v>
      </c>
      <c r="E589" s="14">
        <v>210301017</v>
      </c>
      <c r="F589" s="10" t="s">
        <v>862</v>
      </c>
      <c r="G589" s="10" t="str" cm="1">
        <f t="array" ref="G589">+_xlfn.XLOOKUP(Tabla9[[#This Row],[ESPACIO ACADÉMICO DESTINO]]&amp;Tabla9[[#This Row],[PROGRAMA DESTINO]],Tabla49[ESPACIO ACADÉMICO DESTINO]&amp;Tabla49[PROGRAMA],Tabla49[CÓDIGO],"")</f>
        <v/>
      </c>
      <c r="H589" s="10"/>
      <c r="I589" s="14" t="str" cm="1">
        <f t="array" ref="I589">+_xlfn.XLOOKUP(Tabla9[[#This Row],[ESPACIO ACADÉMICO DESTINO]]&amp;Tabla9[[#This Row],[PROGRAMA DESTINO]],Tabla49[ESPACIO ACADÉMICO DESTINO]&amp;Tabla49[PROGRAMA],Tabla49[CRÉDITOS],"")</f>
        <v/>
      </c>
      <c r="J589" s="14"/>
      <c r="K589" s="10" t="s">
        <v>65</v>
      </c>
      <c r="X589" s="52" t="s">
        <v>85</v>
      </c>
      <c r="Y589" s="8">
        <v>15678</v>
      </c>
      <c r="Z589" s="8" t="s">
        <v>202</v>
      </c>
      <c r="AA589" s="8">
        <v>2</v>
      </c>
    </row>
    <row r="590" spans="3:27" ht="30" x14ac:dyDescent="0.25">
      <c r="C590" s="1" t="str">
        <f>_xlfn.XLOOKUP(Tabla9[[#This Row],[PROGRAMA ORIGEN]],PROGRAMAS_N[PROGRAMAS ORIGEN],PROGRAMAS_N[NIVEL],"")</f>
        <v>TECNÓLOGO</v>
      </c>
      <c r="D590" s="16" t="s">
        <v>158</v>
      </c>
      <c r="E590" s="14">
        <v>210301021</v>
      </c>
      <c r="F590" s="10" t="s">
        <v>863</v>
      </c>
      <c r="G590" s="10" t="str" cm="1">
        <f t="array" ref="G590">+_xlfn.XLOOKUP(Tabla9[[#This Row],[ESPACIO ACADÉMICO DESTINO]]&amp;Tabla9[[#This Row],[PROGRAMA DESTINO]],Tabla49[ESPACIO ACADÉMICO DESTINO]&amp;Tabla49[PROGRAMA],Tabla49[CÓDIGO],"")</f>
        <v/>
      </c>
      <c r="H590" s="10"/>
      <c r="I590" s="14" t="str" cm="1">
        <f t="array" ref="I590">+_xlfn.XLOOKUP(Tabla9[[#This Row],[ESPACIO ACADÉMICO DESTINO]]&amp;Tabla9[[#This Row],[PROGRAMA DESTINO]],Tabla49[ESPACIO ACADÉMICO DESTINO]&amp;Tabla49[PROGRAMA],Tabla49[CRÉDITOS],"")</f>
        <v/>
      </c>
      <c r="J590" s="14"/>
      <c r="K590" s="10" t="s">
        <v>65</v>
      </c>
      <c r="X590" s="52" t="s">
        <v>85</v>
      </c>
      <c r="Y590" s="8">
        <v>15681</v>
      </c>
      <c r="Z590" s="8" t="s">
        <v>237</v>
      </c>
      <c r="AA590" s="8">
        <v>3</v>
      </c>
    </row>
    <row r="591" spans="3:27" ht="45" x14ac:dyDescent="0.25">
      <c r="C591" s="10" t="str">
        <f>_xlfn.XLOOKUP(Tabla9[[#This Row],[PROGRAMA ORIGEN]],PROGRAMAS_N[PROGRAMAS ORIGEN],PROGRAMAS_N[NIVEL],"")</f>
        <v>TECNÓLOGO</v>
      </c>
      <c r="D591" s="16" t="s">
        <v>188</v>
      </c>
      <c r="E591" s="14">
        <v>240201526</v>
      </c>
      <c r="F591" s="10" t="s">
        <v>864</v>
      </c>
      <c r="G591" s="10" cm="1">
        <f t="array" ref="G591">+_xlfn.XLOOKUP(Tabla9[[#This Row],[ESPACIO ACADÉMICO DESTINO]]&amp;Tabla9[[#This Row],[PROGRAMA DESTINO]],Tabla49[ESPACIO ACADÉMICO DESTINO]&amp;Tabla49[PROGRAMA],Tabla49[CÓDIGO],"")</f>
        <v>30391</v>
      </c>
      <c r="H591" s="10" t="s">
        <v>565</v>
      </c>
      <c r="I591" s="14" cm="1">
        <f t="array" ref="I591">+_xlfn.XLOOKUP(Tabla9[[#This Row],[ESPACIO ACADÉMICO DESTINO]]&amp;Tabla9[[#This Row],[PROGRAMA DESTINO]],Tabla49[ESPACIO ACADÉMICO DESTINO]&amp;Tabla49[PROGRAMA],Tabla49[CRÉDITOS],"")</f>
        <v>2</v>
      </c>
      <c r="J591" s="14">
        <v>4.5</v>
      </c>
      <c r="K591" s="10" t="s">
        <v>65</v>
      </c>
      <c r="X591" s="52" t="s">
        <v>85</v>
      </c>
      <c r="Y591" s="8">
        <v>15050</v>
      </c>
      <c r="Z591" s="8" t="s">
        <v>276</v>
      </c>
      <c r="AA591" s="8">
        <v>2</v>
      </c>
    </row>
    <row r="592" spans="3:27" ht="30" x14ac:dyDescent="0.25">
      <c r="C592" s="1" t="str">
        <f>_xlfn.XLOOKUP(Tabla9[[#This Row],[PROGRAMA ORIGEN]],PROGRAMAS_N[PROGRAMAS ORIGEN],PROGRAMAS_N[NIVEL],"")</f>
        <v>TECNÓLOGO</v>
      </c>
      <c r="D592" s="16" t="s">
        <v>188</v>
      </c>
      <c r="E592" s="14">
        <v>210201501</v>
      </c>
      <c r="F592" s="10" t="s">
        <v>865</v>
      </c>
      <c r="G592" s="10" t="str" cm="1">
        <f t="array" ref="G592">+_xlfn.XLOOKUP(Tabla9[[#This Row],[ESPACIO ACADÉMICO DESTINO]]&amp;Tabla9[[#This Row],[PROGRAMA DESTINO]],Tabla49[ESPACIO ACADÉMICO DESTINO]&amp;Tabla49[PROGRAMA],Tabla49[CÓDIGO],"")</f>
        <v/>
      </c>
      <c r="H592" s="10"/>
      <c r="I592" s="14" t="str" cm="1">
        <f t="array" ref="I592">+_xlfn.XLOOKUP(Tabla9[[#This Row],[ESPACIO ACADÉMICO DESTINO]]&amp;Tabla9[[#This Row],[PROGRAMA DESTINO]],Tabla49[ESPACIO ACADÉMICO DESTINO]&amp;Tabla49[PROGRAMA],Tabla49[CRÉDITOS],"")</f>
        <v/>
      </c>
      <c r="J592" s="14"/>
      <c r="K592" s="10" t="s">
        <v>65</v>
      </c>
      <c r="X592" s="52" t="s">
        <v>85</v>
      </c>
      <c r="Y592" s="8">
        <v>15684</v>
      </c>
      <c r="Z592" s="8" t="s">
        <v>866</v>
      </c>
      <c r="AA592" s="8">
        <v>3</v>
      </c>
    </row>
    <row r="593" spans="3:27" ht="30" x14ac:dyDescent="0.25">
      <c r="C593" s="1" t="str">
        <f>_xlfn.XLOOKUP(Tabla9[[#This Row],[PROGRAMA ORIGEN]],PROGRAMAS_N[PROGRAMAS ORIGEN],PROGRAMAS_N[NIVEL],"")</f>
        <v>TECNÓLOGO</v>
      </c>
      <c r="D593" s="16" t="s">
        <v>188</v>
      </c>
      <c r="E593" s="14">
        <v>240201500</v>
      </c>
      <c r="F593" s="10" t="s">
        <v>144</v>
      </c>
      <c r="G593" s="10" t="str" cm="1">
        <f t="array" ref="G593">+_xlfn.XLOOKUP(Tabla9[[#This Row],[ESPACIO ACADÉMICO DESTINO]]&amp;Tabla9[[#This Row],[PROGRAMA DESTINO]],Tabla49[ESPACIO ACADÉMICO DESTINO]&amp;Tabla49[PROGRAMA],Tabla49[CÓDIGO],"")</f>
        <v/>
      </c>
      <c r="H593" s="10"/>
      <c r="I593" s="14" t="str" cm="1">
        <f t="array" ref="I593">+_xlfn.XLOOKUP(Tabla9[[#This Row],[ESPACIO ACADÉMICO DESTINO]]&amp;Tabla9[[#This Row],[PROGRAMA DESTINO]],Tabla49[ESPACIO ACADÉMICO DESTINO]&amp;Tabla49[PROGRAMA],Tabla49[CRÉDITOS],"")</f>
        <v/>
      </c>
      <c r="J593" s="14"/>
      <c r="K593" s="10" t="s">
        <v>65</v>
      </c>
      <c r="X593" s="52" t="s">
        <v>85</v>
      </c>
      <c r="Y593" s="8">
        <v>15059</v>
      </c>
      <c r="Z593" s="8" t="s">
        <v>867</v>
      </c>
      <c r="AA593" s="8">
        <v>2</v>
      </c>
    </row>
    <row r="594" spans="3:27" ht="45" x14ac:dyDescent="0.25">
      <c r="C594" s="1" t="str">
        <f>_xlfn.XLOOKUP(Tabla9[[#This Row],[PROGRAMA ORIGEN]],PROGRAMAS_N[PROGRAMAS ORIGEN],PROGRAMAS_N[NIVEL],"")</f>
        <v>TECNÓLOGO</v>
      </c>
      <c r="D594" s="16" t="s">
        <v>188</v>
      </c>
      <c r="E594" s="14">
        <v>220601501</v>
      </c>
      <c r="F594" s="10" t="s">
        <v>289</v>
      </c>
      <c r="G594" s="10" cm="1">
        <f t="array" ref="G594">+_xlfn.XLOOKUP(Tabla9[[#This Row],[ESPACIO ACADÉMICO DESTINO]]&amp;Tabla9[[#This Row],[PROGRAMA DESTINO]],Tabla49[ESPACIO ACADÉMICO DESTINO]&amp;Tabla49[PROGRAMA],Tabla49[CÓDIGO],"")</f>
        <v>30515</v>
      </c>
      <c r="H594" s="10" t="s">
        <v>588</v>
      </c>
      <c r="I594" s="14" cm="1">
        <f t="array" ref="I594">+_xlfn.XLOOKUP(Tabla9[[#This Row],[ESPACIO ACADÉMICO DESTINO]]&amp;Tabla9[[#This Row],[PROGRAMA DESTINO]],Tabla49[ESPACIO ACADÉMICO DESTINO]&amp;Tabla49[PROGRAMA],Tabla49[CRÉDITOS],"")</f>
        <v>3</v>
      </c>
      <c r="J594" s="14">
        <v>4.5</v>
      </c>
      <c r="K594" s="10" t="s">
        <v>65</v>
      </c>
      <c r="X594" s="52" t="s">
        <v>85</v>
      </c>
      <c r="Y594" s="8">
        <v>15682</v>
      </c>
      <c r="Z594" s="8" t="s">
        <v>307</v>
      </c>
      <c r="AA594" s="8">
        <v>3</v>
      </c>
    </row>
    <row r="595" spans="3:27" ht="30" x14ac:dyDescent="0.25">
      <c r="C595" s="1" t="str">
        <f>_xlfn.XLOOKUP(Tabla9[[#This Row],[PROGRAMA ORIGEN]],PROGRAMAS_N[PROGRAMAS ORIGEN],PROGRAMAS_N[NIVEL],"")</f>
        <v>TECNÓLOGO</v>
      </c>
      <c r="D595" s="16" t="s">
        <v>188</v>
      </c>
      <c r="E595" s="14">
        <v>230101507</v>
      </c>
      <c r="F595" s="10" t="s">
        <v>868</v>
      </c>
      <c r="G595" s="10" t="str" cm="1">
        <f t="array" ref="G595">+_xlfn.XLOOKUP(Tabla9[[#This Row],[ESPACIO ACADÉMICO DESTINO]]&amp;Tabla9[[#This Row],[PROGRAMA DESTINO]],Tabla49[ESPACIO ACADÉMICO DESTINO]&amp;Tabla49[PROGRAMA],Tabla49[CÓDIGO],"")</f>
        <v/>
      </c>
      <c r="H595" s="10"/>
      <c r="I595" s="14" t="str" cm="1">
        <f t="array" ref="I595">+_xlfn.XLOOKUP(Tabla9[[#This Row],[ESPACIO ACADÉMICO DESTINO]]&amp;Tabla9[[#This Row],[PROGRAMA DESTINO]],Tabla49[ESPACIO ACADÉMICO DESTINO]&amp;Tabla49[PROGRAMA],Tabla49[CRÉDITOS],"")</f>
        <v/>
      </c>
      <c r="J595" s="14"/>
      <c r="K595" s="10" t="s">
        <v>65</v>
      </c>
      <c r="X595" s="52" t="s">
        <v>85</v>
      </c>
      <c r="Y595" s="8">
        <v>15683</v>
      </c>
      <c r="Z595" s="8" t="s">
        <v>214</v>
      </c>
      <c r="AA595" s="8">
        <v>2</v>
      </c>
    </row>
    <row r="596" spans="3:27" ht="30" x14ac:dyDescent="0.25">
      <c r="C596" s="1" t="str">
        <f>_xlfn.XLOOKUP(Tabla9[[#This Row],[PROGRAMA ORIGEN]],PROGRAMAS_N[PROGRAMAS ORIGEN],PROGRAMAS_N[NIVEL],"")</f>
        <v>TECNÓLOGO</v>
      </c>
      <c r="D596" s="16" t="s">
        <v>188</v>
      </c>
      <c r="E596" s="14">
        <v>210201052</v>
      </c>
      <c r="F596" s="10" t="s">
        <v>869</v>
      </c>
      <c r="G596" s="10" t="str" cm="1">
        <f t="array" ref="G596">+_xlfn.XLOOKUP(Tabla9[[#This Row],[ESPACIO ACADÉMICO DESTINO]]&amp;Tabla9[[#This Row],[PROGRAMA DESTINO]],Tabla49[ESPACIO ACADÉMICO DESTINO]&amp;Tabla49[PROGRAMA],Tabla49[CÓDIGO],"")</f>
        <v/>
      </c>
      <c r="H596" s="10"/>
      <c r="I596" s="14" t="str" cm="1">
        <f t="array" ref="I596">+_xlfn.XLOOKUP(Tabla9[[#This Row],[ESPACIO ACADÉMICO DESTINO]]&amp;Tabla9[[#This Row],[PROGRAMA DESTINO]],Tabla49[ESPACIO ACADÉMICO DESTINO]&amp;Tabla49[PROGRAMA],Tabla49[CRÉDITOS],"")</f>
        <v/>
      </c>
      <c r="J596" s="14"/>
      <c r="K596" s="10" t="s">
        <v>65</v>
      </c>
      <c r="X596" s="52" t="s">
        <v>85</v>
      </c>
      <c r="Y596" s="10">
        <v>15685</v>
      </c>
      <c r="Z596" s="10" t="s">
        <v>295</v>
      </c>
      <c r="AA596" s="10">
        <v>3</v>
      </c>
    </row>
    <row r="597" spans="3:27" ht="45" x14ac:dyDescent="0.25">
      <c r="C597" s="1" t="str">
        <f>_xlfn.XLOOKUP(Tabla9[[#This Row],[PROGRAMA ORIGEN]],PROGRAMAS_N[PROGRAMAS ORIGEN],PROGRAMAS_N[NIVEL],"")</f>
        <v>TECNÓLOGO</v>
      </c>
      <c r="D597" s="16" t="s">
        <v>188</v>
      </c>
      <c r="E597" s="14">
        <v>210601007</v>
      </c>
      <c r="F597" s="10" t="s">
        <v>851</v>
      </c>
      <c r="G597" s="10" t="str" cm="1">
        <f t="array" ref="G597">+_xlfn.XLOOKUP(Tabla9[[#This Row],[ESPACIO ACADÉMICO DESTINO]]&amp;Tabla9[[#This Row],[PROGRAMA DESTINO]],Tabla49[ESPACIO ACADÉMICO DESTINO]&amp;Tabla49[PROGRAMA],Tabla49[CÓDIGO],"")</f>
        <v/>
      </c>
      <c r="H597" s="10"/>
      <c r="I597" s="14" t="str" cm="1">
        <f t="array" ref="I597">+_xlfn.XLOOKUP(Tabla9[[#This Row],[ESPACIO ACADÉMICO DESTINO]]&amp;Tabla9[[#This Row],[PROGRAMA DESTINO]],Tabla49[ESPACIO ACADÉMICO DESTINO]&amp;Tabla49[PROGRAMA],Tabla49[CRÉDITOS],"")</f>
        <v/>
      </c>
      <c r="J597" s="14"/>
      <c r="K597" s="10" t="s">
        <v>65</v>
      </c>
      <c r="X597" s="52" t="s">
        <v>53</v>
      </c>
      <c r="Y597" s="10">
        <v>48170</v>
      </c>
      <c r="Z597" s="10" t="s">
        <v>182</v>
      </c>
      <c r="AA597" s="10">
        <v>3</v>
      </c>
    </row>
    <row r="598" spans="3:27" ht="45" x14ac:dyDescent="0.25">
      <c r="C598" s="1" t="str">
        <f>_xlfn.XLOOKUP(Tabla9[[#This Row],[PROGRAMA ORIGEN]],PROGRAMAS_N[PROGRAMAS ORIGEN],PROGRAMAS_N[NIVEL],"")</f>
        <v>TECNÓLOGO</v>
      </c>
      <c r="D598" s="16" t="s">
        <v>188</v>
      </c>
      <c r="E598" s="14">
        <v>240201524</v>
      </c>
      <c r="F598" s="10" t="s">
        <v>452</v>
      </c>
      <c r="G598" s="10" cm="1">
        <f t="array" ref="G598">+_xlfn.XLOOKUP(Tabla9[[#This Row],[ESPACIO ACADÉMICO DESTINO]]&amp;Tabla9[[#This Row],[PROGRAMA DESTINO]],Tabla49[ESPACIO ACADÉMICO DESTINO]&amp;Tabla49[PROGRAMA],Tabla49[CÓDIGO],"")</f>
        <v>30383</v>
      </c>
      <c r="H598" s="10" t="s">
        <v>555</v>
      </c>
      <c r="I598" s="14" cm="1">
        <f t="array" ref="I598">+_xlfn.XLOOKUP(Tabla9[[#This Row],[ESPACIO ACADÉMICO DESTINO]]&amp;Tabla9[[#This Row],[PROGRAMA DESTINO]],Tabla49[ESPACIO ACADÉMICO DESTINO]&amp;Tabla49[PROGRAMA],Tabla49[CRÉDITOS],"")</f>
        <v>3</v>
      </c>
      <c r="J598" s="14">
        <v>4.5</v>
      </c>
      <c r="K598" s="10" t="s">
        <v>65</v>
      </c>
      <c r="X598" s="52" t="s">
        <v>53</v>
      </c>
      <c r="Y598" s="10">
        <v>48161</v>
      </c>
      <c r="Z598" s="10" t="s">
        <v>230</v>
      </c>
      <c r="AA598" s="10">
        <v>3</v>
      </c>
    </row>
    <row r="599" spans="3:27" ht="30" x14ac:dyDescent="0.25">
      <c r="C599" s="1" t="str">
        <f>_xlfn.XLOOKUP(Tabla9[[#This Row],[PROGRAMA ORIGEN]],PROGRAMAS_N[PROGRAMAS ORIGEN],PROGRAMAS_N[NIVEL],"")</f>
        <v>TECNÓLOGO</v>
      </c>
      <c r="D599" s="16" t="s">
        <v>188</v>
      </c>
      <c r="E599" s="14">
        <v>240201064</v>
      </c>
      <c r="F599" s="10" t="s">
        <v>870</v>
      </c>
      <c r="G599" s="10" cm="1">
        <f t="array" ref="G599">+_xlfn.XLOOKUP(Tabla9[[#This Row],[ESPACIO ACADÉMICO DESTINO]]&amp;Tabla9[[#This Row],[PROGRAMA DESTINO]],Tabla49[ESPACIO ACADÉMICO DESTINO]&amp;Tabla49[PROGRAMA],Tabla49[CÓDIGO],"")</f>
        <v>30505</v>
      </c>
      <c r="H599" s="10" t="s">
        <v>576</v>
      </c>
      <c r="I599" s="14" cm="1">
        <f t="array" ref="I599">+_xlfn.XLOOKUP(Tabla9[[#This Row],[ESPACIO ACADÉMICO DESTINO]]&amp;Tabla9[[#This Row],[PROGRAMA DESTINO]],Tabla49[ESPACIO ACADÉMICO DESTINO]&amp;Tabla49[PROGRAMA],Tabla49[CRÉDITOS],"")</f>
        <v>2</v>
      </c>
      <c r="J599" s="14">
        <v>4.5</v>
      </c>
      <c r="K599" s="10" t="s">
        <v>65</v>
      </c>
      <c r="X599" s="52" t="s">
        <v>107</v>
      </c>
      <c r="Y599" s="10">
        <v>73626</v>
      </c>
      <c r="Z599" s="10" t="s">
        <v>546</v>
      </c>
      <c r="AA599" s="10">
        <v>3</v>
      </c>
    </row>
    <row r="600" spans="3:27" ht="30" x14ac:dyDescent="0.25">
      <c r="C600" s="1" t="str">
        <f>_xlfn.XLOOKUP(Tabla9[[#This Row],[PROGRAMA ORIGEN]],PROGRAMAS_N[PROGRAMAS ORIGEN],PROGRAMAS_N[NIVEL],"")</f>
        <v>TECNÓLOGO</v>
      </c>
      <c r="D600" s="16" t="s">
        <v>188</v>
      </c>
      <c r="E600" s="14">
        <v>210601026</v>
      </c>
      <c r="F600" s="10" t="s">
        <v>464</v>
      </c>
      <c r="G600" s="10" t="str" cm="1">
        <f t="array" ref="G600">+_xlfn.XLOOKUP(Tabla9[[#This Row],[ESPACIO ACADÉMICO DESTINO]]&amp;Tabla9[[#This Row],[PROGRAMA DESTINO]],Tabla49[ESPACIO ACADÉMICO DESTINO]&amp;Tabla49[PROGRAMA],Tabla49[CÓDIGO],"")</f>
        <v/>
      </c>
      <c r="H600" s="10"/>
      <c r="I600" s="14" t="str" cm="1">
        <f t="array" ref="I600">+_xlfn.XLOOKUP(Tabla9[[#This Row],[ESPACIO ACADÉMICO DESTINO]]&amp;Tabla9[[#This Row],[PROGRAMA DESTINO]],Tabla49[ESPACIO ACADÉMICO DESTINO]&amp;Tabla49[PROGRAMA],Tabla49[CRÉDITOS],"")</f>
        <v/>
      </c>
      <c r="J600" s="14"/>
      <c r="K600" s="10" t="s">
        <v>65</v>
      </c>
      <c r="X600" s="52" t="s">
        <v>107</v>
      </c>
      <c r="Y600" s="10">
        <v>73631</v>
      </c>
      <c r="Z600" s="10" t="s">
        <v>561</v>
      </c>
      <c r="AA600" s="10">
        <v>3</v>
      </c>
    </row>
    <row r="601" spans="3:27" ht="45" x14ac:dyDescent="0.25">
      <c r="C601" s="1" t="str">
        <f>_xlfn.XLOOKUP(Tabla9[[#This Row],[PROGRAMA ORIGEN]],PROGRAMAS_N[PROGRAMAS ORIGEN],PROGRAMAS_N[NIVEL],"")</f>
        <v>TECNÓLOGO</v>
      </c>
      <c r="D601" s="16" t="s">
        <v>188</v>
      </c>
      <c r="E601" s="14">
        <v>240201528</v>
      </c>
      <c r="F601" s="10" t="s">
        <v>871</v>
      </c>
      <c r="G601" s="10" t="str" cm="1">
        <f t="array" ref="G601">+_xlfn.XLOOKUP(Tabla9[[#This Row],[ESPACIO ACADÉMICO DESTINO]]&amp;Tabla9[[#This Row],[PROGRAMA DESTINO]],Tabla49[ESPACIO ACADÉMICO DESTINO]&amp;Tabla49[PROGRAMA],Tabla49[CÓDIGO],"")</f>
        <v/>
      </c>
      <c r="H601" s="10"/>
      <c r="I601" s="14" t="str" cm="1">
        <f t="array" ref="I601">+_xlfn.XLOOKUP(Tabla9[[#This Row],[ESPACIO ACADÉMICO DESTINO]]&amp;Tabla9[[#This Row],[PROGRAMA DESTINO]],Tabla49[ESPACIO ACADÉMICO DESTINO]&amp;Tabla49[PROGRAMA],Tabla49[CRÉDITOS],"")</f>
        <v/>
      </c>
      <c r="J601" s="14"/>
      <c r="K601" s="10" t="s">
        <v>65</v>
      </c>
      <c r="X601" s="52" t="s">
        <v>107</v>
      </c>
      <c r="Y601" s="10">
        <v>73637</v>
      </c>
      <c r="Z601" s="10" t="s">
        <v>584</v>
      </c>
      <c r="AA601" s="10">
        <v>3</v>
      </c>
    </row>
    <row r="602" spans="3:27" ht="30" x14ac:dyDescent="0.25">
      <c r="C602" s="1" t="str">
        <f>_xlfn.XLOOKUP(Tabla9[[#This Row],[PROGRAMA ORIGEN]],PROGRAMAS_N[PROGRAMAS ORIGEN],PROGRAMAS_N[NIVEL],"")</f>
        <v>TECNÓLOGO</v>
      </c>
      <c r="D602" s="16" t="s">
        <v>188</v>
      </c>
      <c r="E602" s="14">
        <v>210601011</v>
      </c>
      <c r="F602" s="10" t="s">
        <v>847</v>
      </c>
      <c r="G602" s="10" t="str" cm="1">
        <f t="array" ref="G602">+_xlfn.XLOOKUP(Tabla9[[#This Row],[ESPACIO ACADÉMICO DESTINO]]&amp;Tabla9[[#This Row],[PROGRAMA DESTINO]],Tabla49[ESPACIO ACADÉMICO DESTINO]&amp;Tabla49[PROGRAMA],Tabla49[CÓDIGO],"")</f>
        <v/>
      </c>
      <c r="H602" s="10"/>
      <c r="I602" s="14" t="str" cm="1">
        <f t="array" ref="I602">+_xlfn.XLOOKUP(Tabla9[[#This Row],[ESPACIO ACADÉMICO DESTINO]]&amp;Tabla9[[#This Row],[PROGRAMA DESTINO]],Tabla49[ESPACIO ACADÉMICO DESTINO]&amp;Tabla49[PROGRAMA],Tabla49[CRÉDITOS],"")</f>
        <v/>
      </c>
      <c r="J602" s="14"/>
      <c r="K602" s="10" t="s">
        <v>65</v>
      </c>
      <c r="X602" s="52" t="s">
        <v>107</v>
      </c>
      <c r="Y602" s="10">
        <v>73632</v>
      </c>
      <c r="Z602" s="10" t="s">
        <v>591</v>
      </c>
      <c r="AA602" s="10">
        <v>3</v>
      </c>
    </row>
    <row r="603" spans="3:27" ht="30" x14ac:dyDescent="0.25">
      <c r="C603" s="1" t="str">
        <f>_xlfn.XLOOKUP(Tabla9[[#This Row],[PROGRAMA ORIGEN]],PROGRAMAS_N[PROGRAMAS ORIGEN],PROGRAMAS_N[NIVEL],"")</f>
        <v>TECNÓLOGO</v>
      </c>
      <c r="D603" s="16" t="s">
        <v>188</v>
      </c>
      <c r="E603" s="14">
        <v>210601001</v>
      </c>
      <c r="F603" s="10" t="s">
        <v>842</v>
      </c>
      <c r="G603" s="10" cm="1">
        <f t="array" ref="G603">+_xlfn.XLOOKUP(Tabla9[[#This Row],[ESPACIO ACADÉMICO DESTINO]]&amp;Tabla9[[#This Row],[PROGRAMA DESTINO]],Tabla49[ESPACIO ACADÉMICO DESTINO]&amp;Tabla49[PROGRAMA],Tabla49[CÓDIGO],"")</f>
        <v>30378</v>
      </c>
      <c r="H603" s="10" t="s">
        <v>56</v>
      </c>
      <c r="I603" s="14" cm="1">
        <f t="array" ref="I603">+_xlfn.XLOOKUP(Tabla9[[#This Row],[ESPACIO ACADÉMICO DESTINO]]&amp;Tabla9[[#This Row],[PROGRAMA DESTINO]],Tabla49[ESPACIO ACADÉMICO DESTINO]&amp;Tabla49[PROGRAMA],Tabla49[CRÉDITOS],"")</f>
        <v>2</v>
      </c>
      <c r="J603" s="14">
        <v>4.5</v>
      </c>
      <c r="K603" s="10" t="s">
        <v>65</v>
      </c>
      <c r="X603" s="52" t="s">
        <v>107</v>
      </c>
      <c r="Y603" s="10">
        <v>73637</v>
      </c>
      <c r="Z603" s="10" t="s">
        <v>594</v>
      </c>
      <c r="AA603" s="10">
        <v>3</v>
      </c>
    </row>
    <row r="604" spans="3:27" ht="30" x14ac:dyDescent="0.25">
      <c r="C604" s="1" t="str">
        <f>_xlfn.XLOOKUP(Tabla9[[#This Row],[PROGRAMA ORIGEN]],PROGRAMAS_N[PROGRAMAS ORIGEN],PROGRAMAS_N[NIVEL],"")</f>
        <v>TECNÓLOGO</v>
      </c>
      <c r="D604" s="16" t="s">
        <v>188</v>
      </c>
      <c r="E604" s="14">
        <v>210601011</v>
      </c>
      <c r="F604" s="10" t="s">
        <v>847</v>
      </c>
      <c r="G604" s="10" cm="1">
        <f t="array" ref="G604">+_xlfn.XLOOKUP(Tabla9[[#This Row],[ESPACIO ACADÉMICO DESTINO]]&amp;Tabla9[[#This Row],[PROGRAMA DESTINO]],Tabla49[ESPACIO ACADÉMICO DESTINO]&amp;Tabla49[PROGRAMA],Tabla49[CÓDIGO],"")</f>
        <v>30381</v>
      </c>
      <c r="H604" s="10" t="s">
        <v>552</v>
      </c>
      <c r="I604" s="14" cm="1">
        <f t="array" ref="I604">+_xlfn.XLOOKUP(Tabla9[[#This Row],[ESPACIO ACADÉMICO DESTINO]]&amp;Tabla9[[#This Row],[PROGRAMA DESTINO]],Tabla49[ESPACIO ACADÉMICO DESTINO]&amp;Tabla49[PROGRAMA],Tabla49[CRÉDITOS],"")</f>
        <v>3</v>
      </c>
      <c r="J604" s="14">
        <v>4.5</v>
      </c>
      <c r="K604" s="10" t="s">
        <v>65</v>
      </c>
      <c r="X604" s="52" t="s">
        <v>107</v>
      </c>
      <c r="Y604" s="10">
        <v>73627</v>
      </c>
      <c r="Z604" s="10" t="s">
        <v>608</v>
      </c>
      <c r="AA604" s="10">
        <v>3</v>
      </c>
    </row>
    <row r="605" spans="3:27" ht="45" x14ac:dyDescent="0.25">
      <c r="C605" s="1" t="str">
        <f>_xlfn.XLOOKUP(Tabla9[[#This Row],[PROGRAMA ORIGEN]],PROGRAMAS_N[PROGRAMAS ORIGEN],PROGRAMAS_N[NIVEL],"")</f>
        <v>TECNÓLOGO</v>
      </c>
      <c r="D605" s="16" t="s">
        <v>188</v>
      </c>
      <c r="E605" s="14">
        <v>250601012</v>
      </c>
      <c r="F605" s="10" t="s">
        <v>872</v>
      </c>
      <c r="G605" s="10" t="str" cm="1">
        <f t="array" ref="G605">+_xlfn.XLOOKUP(Tabla9[[#This Row],[ESPACIO ACADÉMICO DESTINO]]&amp;Tabla9[[#This Row],[PROGRAMA DESTINO]],Tabla49[ESPACIO ACADÉMICO DESTINO]&amp;Tabla49[PROGRAMA],Tabla49[CÓDIGO],"")</f>
        <v/>
      </c>
      <c r="H605" s="10"/>
      <c r="I605" s="14" t="str" cm="1">
        <f t="array" ref="I605">+_xlfn.XLOOKUP(Tabla9[[#This Row],[ESPACIO ACADÉMICO DESTINO]]&amp;Tabla9[[#This Row],[PROGRAMA DESTINO]],Tabla49[ESPACIO ACADÉMICO DESTINO]&amp;Tabla49[PROGRAMA],Tabla49[CRÉDITOS],"")</f>
        <v/>
      </c>
      <c r="J605" s="14"/>
      <c r="K605" s="10" t="s">
        <v>65</v>
      </c>
      <c r="X605" s="52" t="s">
        <v>107</v>
      </c>
      <c r="Y605" s="10">
        <v>73626</v>
      </c>
      <c r="Z605" s="10" t="s">
        <v>617</v>
      </c>
      <c r="AA605" s="10">
        <v>3</v>
      </c>
    </row>
    <row r="606" spans="3:27" ht="30" x14ac:dyDescent="0.25">
      <c r="C606" s="10" t="str">
        <f>_xlfn.XLOOKUP(Tabla9[[#This Row],[PROGRAMA ORIGEN]],PROGRAMAS_N[PROGRAMAS ORIGEN],PROGRAMAS_N[NIVEL],"")</f>
        <v>TECNÓLOGO</v>
      </c>
      <c r="D606" s="16" t="s">
        <v>167</v>
      </c>
      <c r="E606" s="14">
        <v>240201500</v>
      </c>
      <c r="F606" s="10" t="s">
        <v>144</v>
      </c>
      <c r="G606" s="10" cm="1">
        <f t="array" ref="G606">+_xlfn.XLOOKUP(Tabla9[[#This Row],[ESPACIO ACADÉMICO DESTINO]]&amp;Tabla9[[#This Row],[PROGRAMA DESTINO]],Tabla49[ESPACIO ACADÉMICO DESTINO]&amp;Tabla49[PROGRAMA],Tabla49[CÓDIGO],"")</f>
        <v>30391</v>
      </c>
      <c r="H606" s="10" t="s">
        <v>565</v>
      </c>
      <c r="I606" s="14" cm="1">
        <f t="array" ref="I606">+_xlfn.XLOOKUP(Tabla9[[#This Row],[ESPACIO ACADÉMICO DESTINO]]&amp;Tabla9[[#This Row],[PROGRAMA DESTINO]],Tabla49[ESPACIO ACADÉMICO DESTINO]&amp;Tabla49[PROGRAMA],Tabla49[CRÉDITOS],"")</f>
        <v>2</v>
      </c>
      <c r="J606" s="14">
        <v>4.5</v>
      </c>
      <c r="K606" s="10" t="s">
        <v>65</v>
      </c>
      <c r="X606" s="52" t="s">
        <v>116</v>
      </c>
      <c r="Y606" s="10">
        <v>16539</v>
      </c>
      <c r="Z606" s="10" t="s">
        <v>627</v>
      </c>
      <c r="AA606" s="10">
        <v>3</v>
      </c>
    </row>
    <row r="607" spans="3:27" ht="30" x14ac:dyDescent="0.25">
      <c r="C607" s="1" t="str">
        <f>_xlfn.XLOOKUP(Tabla9[[#This Row],[PROGRAMA ORIGEN]],PROGRAMAS_N[PROGRAMAS ORIGEN],PROGRAMAS_N[NIVEL],"")</f>
        <v>TECNÓLOGO</v>
      </c>
      <c r="D607" s="16" t="s">
        <v>167</v>
      </c>
      <c r="E607" s="14">
        <v>210101005</v>
      </c>
      <c r="F607" s="10" t="s">
        <v>510</v>
      </c>
      <c r="G607" s="10" cm="1">
        <f t="array" ref="G607">+_xlfn.XLOOKUP(Tabla9[[#This Row],[ESPACIO ACADÉMICO DESTINO]]&amp;Tabla9[[#This Row],[PROGRAMA DESTINO]],Tabla49[ESPACIO ACADÉMICO DESTINO]&amp;Tabla49[PROGRAMA],Tabla49[CÓDIGO],"")</f>
        <v>30515</v>
      </c>
      <c r="H607" s="10" t="s">
        <v>588</v>
      </c>
      <c r="I607" s="14" cm="1">
        <f t="array" ref="I607">+_xlfn.XLOOKUP(Tabla9[[#This Row],[ESPACIO ACADÉMICO DESTINO]]&amp;Tabla9[[#This Row],[PROGRAMA DESTINO]],Tabla49[ESPACIO ACADÉMICO DESTINO]&amp;Tabla49[PROGRAMA],Tabla49[CRÉDITOS],"")</f>
        <v>3</v>
      </c>
      <c r="J607" s="14">
        <v>4.5</v>
      </c>
      <c r="K607" s="10" t="s">
        <v>65</v>
      </c>
      <c r="X607" s="52" t="s">
        <v>116</v>
      </c>
      <c r="Y607" s="10">
        <v>16540</v>
      </c>
      <c r="Z607" s="10" t="s">
        <v>631</v>
      </c>
      <c r="AA607" s="10">
        <v>3</v>
      </c>
    </row>
    <row r="608" spans="3:27" ht="30" x14ac:dyDescent="0.25">
      <c r="C608" s="1" t="str">
        <f>_xlfn.XLOOKUP(Tabla9[[#This Row],[PROGRAMA ORIGEN]],PROGRAMAS_N[PROGRAMAS ORIGEN],PROGRAMAS_N[NIVEL],"")</f>
        <v>TECNÓLOGO</v>
      </c>
      <c r="D608" s="16" t="s">
        <v>167</v>
      </c>
      <c r="E608" s="14">
        <v>210301029</v>
      </c>
      <c r="F608" s="10" t="s">
        <v>873</v>
      </c>
      <c r="G608" s="10" cm="1">
        <f t="array" ref="G608">+_xlfn.XLOOKUP(Tabla9[[#This Row],[ESPACIO ACADÉMICO DESTINO]]&amp;Tabla9[[#This Row],[PROGRAMA DESTINO]],Tabla49[ESPACIO ACADÉMICO DESTINO]&amp;Tabla49[PROGRAMA],Tabla49[CÓDIGO],"")</f>
        <v>30381</v>
      </c>
      <c r="H608" s="10" t="s">
        <v>552</v>
      </c>
      <c r="I608" s="14" cm="1">
        <f t="array" ref="I608">+_xlfn.XLOOKUP(Tabla9[[#This Row],[ESPACIO ACADÉMICO DESTINO]]&amp;Tabla9[[#This Row],[PROGRAMA DESTINO]],Tabla49[ESPACIO ACADÉMICO DESTINO]&amp;Tabla49[PROGRAMA],Tabla49[CRÉDITOS],"")</f>
        <v>3</v>
      </c>
      <c r="J608" s="14">
        <v>4.5</v>
      </c>
      <c r="K608" s="10" t="s">
        <v>65</v>
      </c>
      <c r="X608" s="52" t="s">
        <v>116</v>
      </c>
      <c r="Y608" s="10">
        <v>16539</v>
      </c>
      <c r="Z608" s="10" t="s">
        <v>643</v>
      </c>
      <c r="AA608" s="10">
        <v>3</v>
      </c>
    </row>
    <row r="609" spans="3:27" ht="30" x14ac:dyDescent="0.25">
      <c r="C609" s="1" t="str">
        <f>_xlfn.XLOOKUP(Tabla9[[#This Row],[PROGRAMA ORIGEN]],PROGRAMAS_N[PROGRAMAS ORIGEN],PROGRAMAS_N[NIVEL],"")</f>
        <v>TECNÓLOGO</v>
      </c>
      <c r="D609" s="16" t="s">
        <v>167</v>
      </c>
      <c r="E609" s="14">
        <v>260101001</v>
      </c>
      <c r="F609" s="10" t="s">
        <v>830</v>
      </c>
      <c r="G609" s="10" cm="1">
        <f t="array" ref="G609">+_xlfn.XLOOKUP(Tabla9[[#This Row],[ESPACIO ACADÉMICO DESTINO]]&amp;Tabla9[[#This Row],[PROGRAMA DESTINO]],Tabla49[ESPACIO ACADÉMICO DESTINO]&amp;Tabla49[PROGRAMA],Tabla49[CÓDIGO],"")</f>
        <v>30396</v>
      </c>
      <c r="H609" s="10" t="s">
        <v>408</v>
      </c>
      <c r="I609" s="14" cm="1">
        <f t="array" ref="I609">+_xlfn.XLOOKUP(Tabla9[[#This Row],[ESPACIO ACADÉMICO DESTINO]]&amp;Tabla9[[#This Row],[PROGRAMA DESTINO]],Tabla49[ESPACIO ACADÉMICO DESTINO]&amp;Tabla49[PROGRAMA],Tabla49[CRÉDITOS],"")</f>
        <v>3</v>
      </c>
      <c r="J609" s="14">
        <v>4.5</v>
      </c>
      <c r="K609" s="10" t="s">
        <v>65</v>
      </c>
      <c r="X609" s="52" t="s">
        <v>116</v>
      </c>
      <c r="Y609" s="10">
        <v>16541</v>
      </c>
      <c r="Z609" s="10" t="s">
        <v>647</v>
      </c>
      <c r="AA609" s="10">
        <v>3</v>
      </c>
    </row>
    <row r="610" spans="3:27" ht="30" x14ac:dyDescent="0.25">
      <c r="C610" s="1" t="str">
        <f>_xlfn.XLOOKUP(Tabla9[[#This Row],[PROGRAMA ORIGEN]],PROGRAMAS_N[PROGRAMAS ORIGEN],PROGRAMAS_N[NIVEL],"")</f>
        <v>TECNÓLOGO</v>
      </c>
      <c r="D610" s="16" t="s">
        <v>167</v>
      </c>
      <c r="E610" s="14">
        <v>260101003</v>
      </c>
      <c r="F610" s="10" t="s">
        <v>874</v>
      </c>
      <c r="G610" s="10" t="str" cm="1">
        <f t="array" ref="G610">+_xlfn.XLOOKUP(Tabla9[[#This Row],[ESPACIO ACADÉMICO DESTINO]]&amp;Tabla9[[#This Row],[PROGRAMA DESTINO]],Tabla49[ESPACIO ACADÉMICO DESTINO]&amp;Tabla49[PROGRAMA],Tabla49[CÓDIGO],"")</f>
        <v/>
      </c>
      <c r="H610" s="10"/>
      <c r="I610" s="14" t="str" cm="1">
        <f t="array" ref="I610">+_xlfn.XLOOKUP(Tabla9[[#This Row],[ESPACIO ACADÉMICO DESTINO]]&amp;Tabla9[[#This Row],[PROGRAMA DESTINO]],Tabla49[ESPACIO ACADÉMICO DESTINO]&amp;Tabla49[PROGRAMA],Tabla49[CRÉDITOS],"")</f>
        <v/>
      </c>
      <c r="J610" s="14"/>
      <c r="K610" s="10" t="s">
        <v>65</v>
      </c>
      <c r="X610" s="52" t="s">
        <v>116</v>
      </c>
      <c r="Y610" s="10">
        <v>16542</v>
      </c>
      <c r="Z610" s="10" t="s">
        <v>650</v>
      </c>
      <c r="AA610" s="10">
        <v>3</v>
      </c>
    </row>
    <row r="611" spans="3:27" ht="30" x14ac:dyDescent="0.25">
      <c r="C611" s="1" t="str">
        <f>_xlfn.XLOOKUP(Tabla9[[#This Row],[PROGRAMA ORIGEN]],PROGRAMAS_N[PROGRAMAS ORIGEN],PROGRAMAS_N[NIVEL],"")</f>
        <v>TECNÓLOGO</v>
      </c>
      <c r="D611" s="16" t="s">
        <v>167</v>
      </c>
      <c r="E611" s="14">
        <v>260101004</v>
      </c>
      <c r="F611" s="10" t="s">
        <v>570</v>
      </c>
      <c r="G611" s="10" t="str" cm="1">
        <f t="array" ref="G611">+_xlfn.XLOOKUP(Tabla9[[#This Row],[ESPACIO ACADÉMICO DESTINO]]&amp;Tabla9[[#This Row],[PROGRAMA DESTINO]],Tabla49[ESPACIO ACADÉMICO DESTINO]&amp;Tabla49[PROGRAMA],Tabla49[CÓDIGO],"")</f>
        <v/>
      </c>
      <c r="H611" s="10"/>
      <c r="I611" s="14" t="str" cm="1">
        <f t="array" ref="I611">+_xlfn.XLOOKUP(Tabla9[[#This Row],[ESPACIO ACADÉMICO DESTINO]]&amp;Tabla9[[#This Row],[PROGRAMA DESTINO]],Tabla49[ESPACIO ACADÉMICO DESTINO]&amp;Tabla49[PROGRAMA],Tabla49[CRÉDITOS],"")</f>
        <v/>
      </c>
      <c r="J611" s="14"/>
      <c r="K611" s="10" t="s">
        <v>65</v>
      </c>
      <c r="X611" s="52" t="s">
        <v>116</v>
      </c>
      <c r="Y611" s="10">
        <v>73500</v>
      </c>
      <c r="Z611" s="10" t="s">
        <v>661</v>
      </c>
      <c r="AA611" s="10">
        <v>3</v>
      </c>
    </row>
    <row r="612" spans="3:27" ht="30" x14ac:dyDescent="0.25">
      <c r="C612" s="1" t="str">
        <f>_xlfn.XLOOKUP(Tabla9[[#This Row],[PROGRAMA ORIGEN]],PROGRAMAS_N[PROGRAMAS ORIGEN],PROGRAMAS_N[NIVEL],"")</f>
        <v>TECNÓLOGO</v>
      </c>
      <c r="D612" s="16" t="s">
        <v>167</v>
      </c>
      <c r="E612" s="14">
        <v>260101007</v>
      </c>
      <c r="F612" s="10" t="s">
        <v>875</v>
      </c>
      <c r="G612" s="10" t="str" cm="1">
        <f t="array" ref="G612">+_xlfn.XLOOKUP(Tabla9[[#This Row],[ESPACIO ACADÉMICO DESTINO]]&amp;Tabla9[[#This Row],[PROGRAMA DESTINO]],Tabla49[ESPACIO ACADÉMICO DESTINO]&amp;Tabla49[PROGRAMA],Tabla49[CÓDIGO],"")</f>
        <v/>
      </c>
      <c r="H612" s="10"/>
      <c r="I612" s="14" t="str" cm="1">
        <f t="array" ref="I612">+_xlfn.XLOOKUP(Tabla9[[#This Row],[ESPACIO ACADÉMICO DESTINO]]&amp;Tabla9[[#This Row],[PROGRAMA DESTINO]],Tabla49[ESPACIO ACADÉMICO DESTINO]&amp;Tabla49[PROGRAMA],Tabla49[CRÉDITOS],"")</f>
        <v/>
      </c>
      <c r="J612" s="14"/>
      <c r="K612" s="10" t="s">
        <v>65</v>
      </c>
      <c r="X612" s="52" t="s">
        <v>116</v>
      </c>
      <c r="Y612" s="10">
        <v>73504</v>
      </c>
      <c r="Z612" s="10" t="s">
        <v>668</v>
      </c>
      <c r="AA612" s="10">
        <v>3</v>
      </c>
    </row>
    <row r="613" spans="3:27" ht="45" x14ac:dyDescent="0.25">
      <c r="C613" s="1" t="str">
        <f>_xlfn.XLOOKUP(Tabla9[[#This Row],[PROGRAMA ORIGEN]],PROGRAMAS_N[PROGRAMAS ORIGEN],PROGRAMAS_N[NIVEL],"")</f>
        <v>TECNÓLOGO</v>
      </c>
      <c r="D613" s="16" t="s">
        <v>167</v>
      </c>
      <c r="E613" s="14">
        <v>260101014</v>
      </c>
      <c r="F613" s="10" t="s">
        <v>267</v>
      </c>
      <c r="G613" s="10" t="str" cm="1">
        <f t="array" ref="G613">+_xlfn.XLOOKUP(Tabla9[[#This Row],[ESPACIO ACADÉMICO DESTINO]]&amp;Tabla9[[#This Row],[PROGRAMA DESTINO]],Tabla49[ESPACIO ACADÉMICO DESTINO]&amp;Tabla49[PROGRAMA],Tabla49[CÓDIGO],"")</f>
        <v/>
      </c>
      <c r="H613" s="10"/>
      <c r="I613" s="14" t="str" cm="1">
        <f t="array" ref="I613">+_xlfn.XLOOKUP(Tabla9[[#This Row],[ESPACIO ACADÉMICO DESTINO]]&amp;Tabla9[[#This Row],[PROGRAMA DESTINO]],Tabla49[ESPACIO ACADÉMICO DESTINO]&amp;Tabla49[PROGRAMA],Tabla49[CRÉDITOS],"")</f>
        <v/>
      </c>
      <c r="J613" s="14"/>
      <c r="K613" s="10" t="s">
        <v>65</v>
      </c>
      <c r="X613" s="52" t="s">
        <v>116</v>
      </c>
      <c r="Y613" s="10">
        <v>16540</v>
      </c>
      <c r="Z613" s="10" t="s">
        <v>674</v>
      </c>
      <c r="AA613" s="10">
        <v>3</v>
      </c>
    </row>
    <row r="614" spans="3:27" ht="30" x14ac:dyDescent="0.25">
      <c r="C614" s="1" t="str">
        <f>_xlfn.XLOOKUP(Tabla9[[#This Row],[PROGRAMA ORIGEN]],PROGRAMAS_N[PROGRAMAS ORIGEN],PROGRAMAS_N[NIVEL],"")</f>
        <v>TECNÓLOGO</v>
      </c>
      <c r="D614" s="16" t="s">
        <v>167</v>
      </c>
      <c r="E614" s="14">
        <v>260101016</v>
      </c>
      <c r="F614" s="10" t="s">
        <v>835</v>
      </c>
      <c r="G614" s="10" t="str" cm="1">
        <f t="array" ref="G614">+_xlfn.XLOOKUP(Tabla9[[#This Row],[ESPACIO ACADÉMICO DESTINO]]&amp;Tabla9[[#This Row],[PROGRAMA DESTINO]],Tabla49[ESPACIO ACADÉMICO DESTINO]&amp;Tabla49[PROGRAMA],Tabla49[CÓDIGO],"")</f>
        <v/>
      </c>
      <c r="H614" s="10"/>
      <c r="I614" s="14" t="str" cm="1">
        <f t="array" ref="I614">+_xlfn.XLOOKUP(Tabla9[[#This Row],[ESPACIO ACADÉMICO DESTINO]]&amp;Tabla9[[#This Row],[PROGRAMA DESTINO]],Tabla49[ESPACIO ACADÉMICO DESTINO]&amp;Tabla49[PROGRAMA],Tabla49[CRÉDITOS],"")</f>
        <v/>
      </c>
      <c r="J614" s="14"/>
      <c r="K614" s="10" t="s">
        <v>65</v>
      </c>
      <c r="X614" s="52" t="s">
        <v>116</v>
      </c>
      <c r="Y614" s="10">
        <v>16539</v>
      </c>
      <c r="Z614" s="10" t="s">
        <v>679</v>
      </c>
      <c r="AA614" s="10">
        <v>3</v>
      </c>
    </row>
    <row r="615" spans="3:27" ht="30" x14ac:dyDescent="0.25">
      <c r="C615" s="1" t="str">
        <f>_xlfn.XLOOKUP(Tabla9[[#This Row],[PROGRAMA ORIGEN]],PROGRAMAS_N[PROGRAMAS ORIGEN],PROGRAMAS_N[NIVEL],"")</f>
        <v>TECNÓLOGO</v>
      </c>
      <c r="D615" s="16" t="s">
        <v>167</v>
      </c>
      <c r="E615" s="14">
        <v>260101021</v>
      </c>
      <c r="F615" s="10" t="s">
        <v>564</v>
      </c>
      <c r="G615" s="10" t="str" cm="1">
        <f t="array" ref="G615">+_xlfn.XLOOKUP(Tabla9[[#This Row],[ESPACIO ACADÉMICO DESTINO]]&amp;Tabla9[[#This Row],[PROGRAMA DESTINO]],Tabla49[ESPACIO ACADÉMICO DESTINO]&amp;Tabla49[PROGRAMA],Tabla49[CÓDIGO],"")</f>
        <v/>
      </c>
      <c r="H615" s="10"/>
      <c r="I615" s="14" t="str" cm="1">
        <f t="array" ref="I615">+_xlfn.XLOOKUP(Tabla9[[#This Row],[ESPACIO ACADÉMICO DESTINO]]&amp;Tabla9[[#This Row],[PROGRAMA DESTINO]],Tabla49[ESPACIO ACADÉMICO DESTINO]&amp;Tabla49[PROGRAMA],Tabla49[CRÉDITOS],"")</f>
        <v/>
      </c>
      <c r="J615" s="14"/>
      <c r="K615" s="10" t="s">
        <v>65</v>
      </c>
      <c r="X615" s="52" t="s">
        <v>116</v>
      </c>
      <c r="Y615" s="10">
        <v>16540</v>
      </c>
      <c r="Z615" s="10" t="s">
        <v>692</v>
      </c>
      <c r="AA615" s="10">
        <v>3</v>
      </c>
    </row>
    <row r="616" spans="3:27" ht="45" x14ac:dyDescent="0.25">
      <c r="C616" s="1" t="str">
        <f>_xlfn.XLOOKUP(Tabla9[[#This Row],[PROGRAMA ORIGEN]],PROGRAMAS_N[PROGRAMAS ORIGEN],PROGRAMAS_N[NIVEL],"")</f>
        <v>TECNÓLOGO</v>
      </c>
      <c r="D616" s="16" t="s">
        <v>167</v>
      </c>
      <c r="E616" s="14">
        <v>260101018</v>
      </c>
      <c r="F616" s="10" t="s">
        <v>876</v>
      </c>
      <c r="G616" s="10" cm="1">
        <f t="array" ref="G616">+_xlfn.XLOOKUP(Tabla9[[#This Row],[ESPACIO ACADÉMICO DESTINO]]&amp;Tabla9[[#This Row],[PROGRAMA DESTINO]],Tabla49[ESPACIO ACADÉMICO DESTINO]&amp;Tabla49[PROGRAMA],Tabla49[CÓDIGO],"")</f>
        <v>30505</v>
      </c>
      <c r="H616" s="10" t="s">
        <v>576</v>
      </c>
      <c r="I616" s="14" cm="1">
        <f t="array" ref="I616">+_xlfn.XLOOKUP(Tabla9[[#This Row],[ESPACIO ACADÉMICO DESTINO]]&amp;Tabla9[[#This Row],[PROGRAMA DESTINO]],Tabla49[ESPACIO ACADÉMICO DESTINO]&amp;Tabla49[PROGRAMA],Tabla49[CRÉDITOS],"")</f>
        <v>2</v>
      </c>
      <c r="J616" s="14">
        <v>4.5</v>
      </c>
      <c r="K616" s="10" t="s">
        <v>65</v>
      </c>
      <c r="X616" s="52" t="s">
        <v>116</v>
      </c>
      <c r="Y616" s="10">
        <v>16539</v>
      </c>
      <c r="Z616" s="10" t="s">
        <v>709</v>
      </c>
      <c r="AA616" s="10">
        <v>3</v>
      </c>
    </row>
    <row r="617" spans="3:27" ht="30" x14ac:dyDescent="0.25">
      <c r="C617" s="1" t="str">
        <f>_xlfn.XLOOKUP(Tabla9[[#This Row],[PROGRAMA ORIGEN]],PROGRAMAS_N[PROGRAMAS ORIGEN],PROGRAMAS_N[NIVEL],"")</f>
        <v>TECNÓLOGO</v>
      </c>
      <c r="D617" s="16" t="s">
        <v>167</v>
      </c>
      <c r="E617" s="14">
        <v>260101022</v>
      </c>
      <c r="F617" s="10" t="s">
        <v>877</v>
      </c>
      <c r="G617" s="10" t="str" cm="1">
        <f t="array" ref="G617">+_xlfn.XLOOKUP(Tabla9[[#This Row],[ESPACIO ACADÉMICO DESTINO]]&amp;Tabla9[[#This Row],[PROGRAMA DESTINO]],Tabla49[ESPACIO ACADÉMICO DESTINO]&amp;Tabla49[PROGRAMA],Tabla49[CÓDIGO],"")</f>
        <v/>
      </c>
      <c r="H617" s="10"/>
      <c r="I617" s="14" t="str" cm="1">
        <f t="array" ref="I617">+_xlfn.XLOOKUP(Tabla9[[#This Row],[ESPACIO ACADÉMICO DESTINO]]&amp;Tabla9[[#This Row],[PROGRAMA DESTINO]],Tabla49[ESPACIO ACADÉMICO DESTINO]&amp;Tabla49[PROGRAMA],Tabla49[CRÉDITOS],"")</f>
        <v/>
      </c>
      <c r="J617" s="14"/>
      <c r="K617" s="10" t="s">
        <v>65</v>
      </c>
      <c r="X617" s="52" t="s">
        <v>116</v>
      </c>
      <c r="Y617" s="10">
        <v>16541</v>
      </c>
      <c r="Z617" s="10" t="s">
        <v>714</v>
      </c>
      <c r="AA617" s="10">
        <v>3</v>
      </c>
    </row>
    <row r="618" spans="3:27" ht="30" x14ac:dyDescent="0.25">
      <c r="C618" s="1" t="str">
        <f>_xlfn.XLOOKUP(Tabla9[[#This Row],[PROGRAMA ORIGEN]],PROGRAMAS_N[PROGRAMAS ORIGEN],PROGRAMAS_N[NIVEL],"")</f>
        <v>TECNÓLOGO</v>
      </c>
      <c r="D618" s="16" t="s">
        <v>167</v>
      </c>
      <c r="E618" s="14">
        <v>260101024</v>
      </c>
      <c r="F618" s="10" t="s">
        <v>836</v>
      </c>
      <c r="G618" s="10" t="str" cm="1">
        <f t="array" ref="G618">+_xlfn.XLOOKUP(Tabla9[[#This Row],[ESPACIO ACADÉMICO DESTINO]]&amp;Tabla9[[#This Row],[PROGRAMA DESTINO]],Tabla49[ESPACIO ACADÉMICO DESTINO]&amp;Tabla49[PROGRAMA],Tabla49[CÓDIGO],"")</f>
        <v/>
      </c>
      <c r="H618" s="10"/>
      <c r="I618" s="14" t="str" cm="1">
        <f t="array" ref="I618">+_xlfn.XLOOKUP(Tabla9[[#This Row],[ESPACIO ACADÉMICO DESTINO]]&amp;Tabla9[[#This Row],[PROGRAMA DESTINO]],Tabla49[ESPACIO ACADÉMICO DESTINO]&amp;Tabla49[PROGRAMA],Tabla49[CRÉDITOS],"")</f>
        <v/>
      </c>
      <c r="J618" s="14"/>
      <c r="K618" s="10" t="s">
        <v>65</v>
      </c>
      <c r="X618" s="52" t="s">
        <v>116</v>
      </c>
      <c r="Y618" s="10">
        <v>73500</v>
      </c>
      <c r="Z618" s="10" t="s">
        <v>769</v>
      </c>
      <c r="AA618" s="10">
        <v>3</v>
      </c>
    </row>
    <row r="619" spans="3:27" ht="30" x14ac:dyDescent="0.25">
      <c r="C619" s="1" t="str">
        <f>_xlfn.XLOOKUP(Tabla9[[#This Row],[PROGRAMA ORIGEN]],PROGRAMAS_N[PROGRAMAS ORIGEN],PROGRAMAS_N[NIVEL],"")</f>
        <v>TECNÓLOGO</v>
      </c>
      <c r="D619" s="16" t="s">
        <v>167</v>
      </c>
      <c r="E619" s="14">
        <v>260101032</v>
      </c>
      <c r="F619" s="10" t="s">
        <v>604</v>
      </c>
      <c r="G619" s="10" t="str" cm="1">
        <f t="array" ref="G619">+_xlfn.XLOOKUP(Tabla9[[#This Row],[ESPACIO ACADÉMICO DESTINO]]&amp;Tabla9[[#This Row],[PROGRAMA DESTINO]],Tabla49[ESPACIO ACADÉMICO DESTINO]&amp;Tabla49[PROGRAMA],Tabla49[CÓDIGO],"")</f>
        <v/>
      </c>
      <c r="H619" s="10"/>
      <c r="I619" s="14" t="str" cm="1">
        <f t="array" ref="I619">+_xlfn.XLOOKUP(Tabla9[[#This Row],[ESPACIO ACADÉMICO DESTINO]]&amp;Tabla9[[#This Row],[PROGRAMA DESTINO]],Tabla49[ESPACIO ACADÉMICO DESTINO]&amp;Tabla49[PROGRAMA],Tabla49[CRÉDITOS],"")</f>
        <v/>
      </c>
      <c r="J619" s="14"/>
      <c r="K619" s="10" t="s">
        <v>65</v>
      </c>
      <c r="X619" s="52" t="s">
        <v>116</v>
      </c>
      <c r="Y619" s="10">
        <v>73504</v>
      </c>
      <c r="Z619" s="10" t="s">
        <v>878</v>
      </c>
      <c r="AA619" s="10">
        <v>3</v>
      </c>
    </row>
    <row r="620" spans="3:27" ht="30" x14ac:dyDescent="0.25">
      <c r="C620" s="10" t="str">
        <f>_xlfn.XLOOKUP(Tabla9[[#This Row],[PROGRAMA ORIGEN]],PROGRAMAS_N[PROGRAMAS ORIGEN],PROGRAMAS_N[NIVEL],"")</f>
        <v>TECNÓLOGO</v>
      </c>
      <c r="D620" s="16" t="s">
        <v>185</v>
      </c>
      <c r="E620" s="14">
        <v>240201500</v>
      </c>
      <c r="F620" s="10" t="s">
        <v>144</v>
      </c>
      <c r="G620" s="10" cm="1">
        <f t="array" ref="G620">+_xlfn.XLOOKUP(Tabla9[[#This Row],[ESPACIO ACADÉMICO DESTINO]]&amp;Tabla9[[#This Row],[PROGRAMA DESTINO]],Tabla49[ESPACIO ACADÉMICO DESTINO]&amp;Tabla49[PROGRAMA],Tabla49[CÓDIGO],"")</f>
        <v>30391</v>
      </c>
      <c r="H620" s="10" t="s">
        <v>565</v>
      </c>
      <c r="I620" s="14" cm="1">
        <f t="array" ref="I620">+_xlfn.XLOOKUP(Tabla9[[#This Row],[ESPACIO ACADÉMICO DESTINO]]&amp;Tabla9[[#This Row],[PROGRAMA DESTINO]],Tabla49[ESPACIO ACADÉMICO DESTINO]&amp;Tabla49[PROGRAMA],Tabla49[CRÉDITOS],"")</f>
        <v>2</v>
      </c>
      <c r="J620" s="14">
        <v>4.5</v>
      </c>
      <c r="K620" s="10" t="s">
        <v>65</v>
      </c>
      <c r="X620" s="52" t="s">
        <v>116</v>
      </c>
      <c r="Y620" s="10">
        <v>16540</v>
      </c>
      <c r="Z620" s="10" t="s">
        <v>780</v>
      </c>
      <c r="AA620" s="10">
        <v>3</v>
      </c>
    </row>
    <row r="621" spans="3:27" ht="45" x14ac:dyDescent="0.25">
      <c r="C621" s="1" t="str">
        <f>_xlfn.XLOOKUP(Tabla9[[#This Row],[PROGRAMA ORIGEN]],PROGRAMAS_N[PROGRAMAS ORIGEN],PROGRAMAS_N[NIVEL],"")</f>
        <v>TECNÓLOGO</v>
      </c>
      <c r="D621" s="16" t="s">
        <v>185</v>
      </c>
      <c r="E621" s="14">
        <v>210201006</v>
      </c>
      <c r="F621" s="10" t="s">
        <v>879</v>
      </c>
      <c r="G621" s="10" cm="1">
        <f t="array" ref="G621">+_xlfn.XLOOKUP(Tabla9[[#This Row],[ESPACIO ACADÉMICO DESTINO]]&amp;Tabla9[[#This Row],[PROGRAMA DESTINO]],Tabla49[ESPACIO ACADÉMICO DESTINO]&amp;Tabla49[PROGRAMA],Tabla49[CÓDIGO],"")</f>
        <v>30515</v>
      </c>
      <c r="H621" s="10" t="s">
        <v>588</v>
      </c>
      <c r="I621" s="14" cm="1">
        <f t="array" ref="I621">+_xlfn.XLOOKUP(Tabla9[[#This Row],[ESPACIO ACADÉMICO DESTINO]]&amp;Tabla9[[#This Row],[PROGRAMA DESTINO]],Tabla49[ESPACIO ACADÉMICO DESTINO]&amp;Tabla49[PROGRAMA],Tabla49[CRÉDITOS],"")</f>
        <v>3</v>
      </c>
      <c r="J621" s="14">
        <v>4.5</v>
      </c>
      <c r="K621" s="10" t="s">
        <v>65</v>
      </c>
      <c r="X621" s="52" t="s">
        <v>116</v>
      </c>
      <c r="Y621" s="10">
        <v>73500</v>
      </c>
      <c r="Z621" s="10" t="s">
        <v>812</v>
      </c>
      <c r="AA621" s="10">
        <v>3</v>
      </c>
    </row>
    <row r="622" spans="3:27" ht="30" x14ac:dyDescent="0.25">
      <c r="C622" s="1" t="str">
        <f>_xlfn.XLOOKUP(Tabla9[[#This Row],[PROGRAMA ORIGEN]],PROGRAMAS_N[PROGRAMAS ORIGEN],PROGRAMAS_N[NIVEL],"")</f>
        <v>TECNÓLOGO</v>
      </c>
      <c r="D622" s="16" t="s">
        <v>185</v>
      </c>
      <c r="E622" s="14">
        <v>210201008</v>
      </c>
      <c r="F622" s="10" t="s">
        <v>880</v>
      </c>
      <c r="G622" s="10" t="str" cm="1">
        <f t="array" ref="G622">+_xlfn.XLOOKUP(Tabla9[[#This Row],[ESPACIO ACADÉMICO DESTINO]]&amp;Tabla9[[#This Row],[PROGRAMA DESTINO]],Tabla49[ESPACIO ACADÉMICO DESTINO]&amp;Tabla49[PROGRAMA],Tabla49[CÓDIGO],"")</f>
        <v/>
      </c>
      <c r="H622" s="10"/>
      <c r="I622" s="14" t="str" cm="1">
        <f t="array" ref="I622">+_xlfn.XLOOKUP(Tabla9[[#This Row],[ESPACIO ACADÉMICO DESTINO]]&amp;Tabla9[[#This Row],[PROGRAMA DESTINO]],Tabla49[ESPACIO ACADÉMICO DESTINO]&amp;Tabla49[PROGRAMA],Tabla49[CRÉDITOS],"")</f>
        <v/>
      </c>
      <c r="J622" s="14"/>
      <c r="K622" s="10" t="s">
        <v>65</v>
      </c>
      <c r="X622" s="52" t="s">
        <v>116</v>
      </c>
      <c r="Y622" s="10">
        <v>16542</v>
      </c>
      <c r="Z622" s="10" t="s">
        <v>757</v>
      </c>
      <c r="AA622" s="10">
        <v>3</v>
      </c>
    </row>
    <row r="623" spans="3:27" ht="45" x14ac:dyDescent="0.25">
      <c r="C623" s="1" t="str">
        <f>_xlfn.XLOOKUP(Tabla9[[#This Row],[PROGRAMA ORIGEN]],PROGRAMAS_N[PROGRAMAS ORIGEN],PROGRAMAS_N[NIVEL],"")</f>
        <v>TECNÓLOGO</v>
      </c>
      <c r="D623" s="16" t="s">
        <v>185</v>
      </c>
      <c r="E623" s="14">
        <v>210201009</v>
      </c>
      <c r="F623" s="10" t="s">
        <v>881</v>
      </c>
      <c r="G623" s="10" t="str" cm="1">
        <f t="array" ref="G623">+_xlfn.XLOOKUP(Tabla9[[#This Row],[ESPACIO ACADÉMICO DESTINO]]&amp;Tabla9[[#This Row],[PROGRAMA DESTINO]],Tabla49[ESPACIO ACADÉMICO DESTINO]&amp;Tabla49[PROGRAMA],Tabla49[CÓDIGO],"")</f>
        <v/>
      </c>
      <c r="H623" s="10"/>
      <c r="I623" s="14" t="str" cm="1">
        <f t="array" ref="I623">+_xlfn.XLOOKUP(Tabla9[[#This Row],[ESPACIO ACADÉMICO DESTINO]]&amp;Tabla9[[#This Row],[PROGRAMA DESTINO]],Tabla49[ESPACIO ACADÉMICO DESTINO]&amp;Tabla49[PROGRAMA],Tabla49[CRÉDITOS],"")</f>
        <v/>
      </c>
      <c r="J623" s="14"/>
      <c r="K623" s="10" t="s">
        <v>65</v>
      </c>
      <c r="X623" s="52" t="s">
        <v>116</v>
      </c>
      <c r="Y623" s="10">
        <v>73511</v>
      </c>
      <c r="Z623" s="10" t="s">
        <v>746</v>
      </c>
      <c r="AA623" s="10">
        <v>3</v>
      </c>
    </row>
    <row r="624" spans="3:27" ht="45" x14ac:dyDescent="0.25">
      <c r="C624" s="1" t="str">
        <f>_xlfn.XLOOKUP(Tabla9[[#This Row],[PROGRAMA ORIGEN]],PROGRAMAS_N[PROGRAMAS ORIGEN],PROGRAMAS_N[NIVEL],"")</f>
        <v>TECNÓLOGO</v>
      </c>
      <c r="D624" s="16" t="s">
        <v>185</v>
      </c>
      <c r="E624" s="14">
        <v>210201011</v>
      </c>
      <c r="F624" s="10" t="s">
        <v>882</v>
      </c>
      <c r="G624" s="10" t="str" cm="1">
        <f t="array" ref="G624">+_xlfn.XLOOKUP(Tabla9[[#This Row],[ESPACIO ACADÉMICO DESTINO]]&amp;Tabla9[[#This Row],[PROGRAMA DESTINO]],Tabla49[ESPACIO ACADÉMICO DESTINO]&amp;Tabla49[PROGRAMA],Tabla49[CÓDIGO],"")</f>
        <v/>
      </c>
      <c r="H624" s="10"/>
      <c r="I624" s="14" t="str" cm="1">
        <f t="array" ref="I624">+_xlfn.XLOOKUP(Tabla9[[#This Row],[ESPACIO ACADÉMICO DESTINO]]&amp;Tabla9[[#This Row],[PROGRAMA DESTINO]],Tabla49[ESPACIO ACADÉMICO DESTINO]&amp;Tabla49[PROGRAMA],Tabla49[CRÉDITOS],"")</f>
        <v/>
      </c>
      <c r="J624" s="14"/>
      <c r="K624" s="10" t="s">
        <v>65</v>
      </c>
      <c r="X624" s="52" t="s">
        <v>116</v>
      </c>
      <c r="Y624" s="10">
        <v>16541</v>
      </c>
      <c r="Z624" s="10" t="s">
        <v>774</v>
      </c>
      <c r="AA624" s="10">
        <v>3</v>
      </c>
    </row>
    <row r="625" spans="3:27" ht="30" x14ac:dyDescent="0.25">
      <c r="C625" s="1" t="str">
        <f>_xlfn.XLOOKUP(Tabla9[[#This Row],[PROGRAMA ORIGEN]],PROGRAMAS_N[PROGRAMAS ORIGEN],PROGRAMAS_N[NIVEL],"")</f>
        <v>TECNÓLOGO</v>
      </c>
      <c r="D625" s="16" t="s">
        <v>185</v>
      </c>
      <c r="E625" s="14">
        <v>210201016</v>
      </c>
      <c r="F625" s="10" t="s">
        <v>883</v>
      </c>
      <c r="G625" s="10" t="str" cm="1">
        <f t="array" ref="G625">+_xlfn.XLOOKUP(Tabla9[[#This Row],[ESPACIO ACADÉMICO DESTINO]]&amp;Tabla9[[#This Row],[PROGRAMA DESTINO]],Tabla49[ESPACIO ACADÉMICO DESTINO]&amp;Tabla49[PROGRAMA],Tabla49[CÓDIGO],"")</f>
        <v/>
      </c>
      <c r="H625" s="10"/>
      <c r="I625" s="14" t="str" cm="1">
        <f t="array" ref="I625">+_xlfn.XLOOKUP(Tabla9[[#This Row],[ESPACIO ACADÉMICO DESTINO]]&amp;Tabla9[[#This Row],[PROGRAMA DESTINO]],Tabla49[ESPACIO ACADÉMICO DESTINO]&amp;Tabla49[PROGRAMA],Tabla49[CRÉDITOS],"")</f>
        <v/>
      </c>
      <c r="J625" s="14"/>
      <c r="K625" s="10" t="s">
        <v>65</v>
      </c>
      <c r="X625" s="52" t="s">
        <v>116</v>
      </c>
      <c r="Y625" s="10">
        <v>73500</v>
      </c>
      <c r="Z625" s="10" t="s">
        <v>700</v>
      </c>
      <c r="AA625" s="10">
        <v>3</v>
      </c>
    </row>
    <row r="626" spans="3:27" ht="45" x14ac:dyDescent="0.25">
      <c r="C626" s="1" t="str">
        <f>_xlfn.XLOOKUP(Tabla9[[#This Row],[PROGRAMA ORIGEN]],PROGRAMAS_N[PROGRAMAS ORIGEN],PROGRAMAS_N[NIVEL],"")</f>
        <v>TECNÓLOGO</v>
      </c>
      <c r="D626" s="16" t="s">
        <v>185</v>
      </c>
      <c r="E626" s="14">
        <v>210201015</v>
      </c>
      <c r="F626" s="10" t="s">
        <v>884</v>
      </c>
      <c r="G626" s="10" t="str" cm="1">
        <f t="array" ref="G626">+_xlfn.XLOOKUP(Tabla9[[#This Row],[ESPACIO ACADÉMICO DESTINO]]&amp;Tabla9[[#This Row],[PROGRAMA DESTINO]],Tabla49[ESPACIO ACADÉMICO DESTINO]&amp;Tabla49[PROGRAMA],Tabla49[CÓDIGO],"")</f>
        <v/>
      </c>
      <c r="H626" s="10"/>
      <c r="I626" s="14" t="str" cm="1">
        <f t="array" ref="I626">+_xlfn.XLOOKUP(Tabla9[[#This Row],[ESPACIO ACADÉMICO DESTINO]]&amp;Tabla9[[#This Row],[PROGRAMA DESTINO]],Tabla49[ESPACIO ACADÉMICO DESTINO]&amp;Tabla49[PROGRAMA],Tabla49[CRÉDITOS],"")</f>
        <v/>
      </c>
      <c r="J626" s="14"/>
      <c r="K626" s="10" t="s">
        <v>65</v>
      </c>
      <c r="X626" s="52" t="s">
        <v>116</v>
      </c>
      <c r="Y626" s="10">
        <v>73500</v>
      </c>
      <c r="Z626" s="10" t="s">
        <v>724</v>
      </c>
      <c r="AA626" s="10">
        <v>3</v>
      </c>
    </row>
    <row r="627" spans="3:27" ht="30" x14ac:dyDescent="0.25">
      <c r="C627" s="1" t="str">
        <f>_xlfn.XLOOKUP(Tabla9[[#This Row],[PROGRAMA ORIGEN]],PROGRAMAS_N[PROGRAMAS ORIGEN],PROGRAMAS_N[NIVEL],"")</f>
        <v>TECNÓLOGO</v>
      </c>
      <c r="D627" s="16" t="s">
        <v>185</v>
      </c>
      <c r="E627" s="14">
        <v>210201016</v>
      </c>
      <c r="F627" s="10" t="s">
        <v>883</v>
      </c>
      <c r="G627" s="10" t="str" cm="1">
        <f t="array" ref="G627">+_xlfn.XLOOKUP(Tabla9[[#This Row],[ESPACIO ACADÉMICO DESTINO]]&amp;Tabla9[[#This Row],[PROGRAMA DESTINO]],Tabla49[ESPACIO ACADÉMICO DESTINO]&amp;Tabla49[PROGRAMA],Tabla49[CÓDIGO],"")</f>
        <v/>
      </c>
      <c r="H627" s="10"/>
      <c r="I627" s="14" t="str" cm="1">
        <f t="array" ref="I627">+_xlfn.XLOOKUP(Tabla9[[#This Row],[ESPACIO ACADÉMICO DESTINO]]&amp;Tabla9[[#This Row],[PROGRAMA DESTINO]],Tabla49[ESPACIO ACADÉMICO DESTINO]&amp;Tabla49[PROGRAMA],Tabla49[CRÉDITOS],"")</f>
        <v/>
      </c>
      <c r="J627" s="14"/>
      <c r="K627" s="10" t="s">
        <v>65</v>
      </c>
      <c r="X627" s="52" t="s">
        <v>116</v>
      </c>
      <c r="Y627" s="10">
        <v>73500</v>
      </c>
      <c r="Z627" s="10" t="s">
        <v>744</v>
      </c>
      <c r="AA627" s="10">
        <v>3</v>
      </c>
    </row>
    <row r="628" spans="3:27" ht="30" x14ac:dyDescent="0.25">
      <c r="C628" s="1" t="str">
        <f>_xlfn.XLOOKUP(Tabla9[[#This Row],[PROGRAMA ORIGEN]],PROGRAMAS_N[PROGRAMAS ORIGEN],PROGRAMAS_N[NIVEL],"")</f>
        <v>TECNÓLOGO</v>
      </c>
      <c r="D628" s="16" t="s">
        <v>185</v>
      </c>
      <c r="E628" s="14">
        <v>210201020</v>
      </c>
      <c r="F628" s="10" t="s">
        <v>885</v>
      </c>
      <c r="G628" s="10" t="str" cm="1">
        <f t="array" ref="G628">+_xlfn.XLOOKUP(Tabla9[[#This Row],[ESPACIO ACADÉMICO DESTINO]]&amp;Tabla9[[#This Row],[PROGRAMA DESTINO]],Tabla49[ESPACIO ACADÉMICO DESTINO]&amp;Tabla49[PROGRAMA],Tabla49[CÓDIGO],"")</f>
        <v/>
      </c>
      <c r="H628" s="10"/>
      <c r="I628" s="14" t="str" cm="1">
        <f t="array" ref="I628">+_xlfn.XLOOKUP(Tabla9[[#This Row],[ESPACIO ACADÉMICO DESTINO]]&amp;Tabla9[[#This Row],[PROGRAMA DESTINO]],Tabla49[ESPACIO ACADÉMICO DESTINO]&amp;Tabla49[PROGRAMA],Tabla49[CRÉDITOS],"")</f>
        <v/>
      </c>
      <c r="J628" s="14"/>
      <c r="K628" s="10" t="s">
        <v>65</v>
      </c>
    </row>
    <row r="629" spans="3:27" ht="45" x14ac:dyDescent="0.25">
      <c r="C629" s="1" t="str">
        <f>_xlfn.XLOOKUP(Tabla9[[#This Row],[PROGRAMA ORIGEN]],PROGRAMAS_N[PROGRAMAS ORIGEN],PROGRAMAS_N[NIVEL],"")</f>
        <v>TECNÓLOGO</v>
      </c>
      <c r="D629" s="16" t="s">
        <v>185</v>
      </c>
      <c r="E629" s="14">
        <v>210201023</v>
      </c>
      <c r="F629" s="10" t="s">
        <v>886</v>
      </c>
      <c r="G629" s="10" t="str" cm="1">
        <f t="array" ref="G629">+_xlfn.XLOOKUP(Tabla9[[#This Row],[ESPACIO ACADÉMICO DESTINO]]&amp;Tabla9[[#This Row],[PROGRAMA DESTINO]],Tabla49[ESPACIO ACADÉMICO DESTINO]&amp;Tabla49[PROGRAMA],Tabla49[CÓDIGO],"")</f>
        <v/>
      </c>
      <c r="H629" s="10"/>
      <c r="I629" s="14" t="str" cm="1">
        <f t="array" ref="I629">+_xlfn.XLOOKUP(Tabla9[[#This Row],[ESPACIO ACADÉMICO DESTINO]]&amp;Tabla9[[#This Row],[PROGRAMA DESTINO]],Tabla49[ESPACIO ACADÉMICO DESTINO]&amp;Tabla49[PROGRAMA],Tabla49[CRÉDITOS],"")</f>
        <v/>
      </c>
      <c r="J629" s="14"/>
      <c r="K629" s="10" t="s">
        <v>65</v>
      </c>
    </row>
    <row r="630" spans="3:27" ht="45" x14ac:dyDescent="0.25">
      <c r="C630" s="1" t="str">
        <f>_xlfn.XLOOKUP(Tabla9[[#This Row],[PROGRAMA ORIGEN]],PROGRAMAS_N[PROGRAMAS ORIGEN],PROGRAMAS_N[NIVEL],"")</f>
        <v>TECNÓLOGO</v>
      </c>
      <c r="D630" s="16" t="s">
        <v>185</v>
      </c>
      <c r="E630" s="14">
        <v>210201024</v>
      </c>
      <c r="F630" s="10" t="s">
        <v>887</v>
      </c>
      <c r="G630" s="10" t="str" cm="1">
        <f t="array" ref="G630">+_xlfn.XLOOKUP(Tabla9[[#This Row],[ESPACIO ACADÉMICO DESTINO]]&amp;Tabla9[[#This Row],[PROGRAMA DESTINO]],Tabla49[ESPACIO ACADÉMICO DESTINO]&amp;Tabla49[PROGRAMA],Tabla49[CÓDIGO],"")</f>
        <v/>
      </c>
      <c r="H630" s="10"/>
      <c r="I630" s="14" t="str" cm="1">
        <f t="array" ref="I630">+_xlfn.XLOOKUP(Tabla9[[#This Row],[ESPACIO ACADÉMICO DESTINO]]&amp;Tabla9[[#This Row],[PROGRAMA DESTINO]],Tabla49[ESPACIO ACADÉMICO DESTINO]&amp;Tabla49[PROGRAMA],Tabla49[CRÉDITOS],"")</f>
        <v/>
      </c>
      <c r="J630" s="14"/>
      <c r="K630" s="10" t="s">
        <v>65</v>
      </c>
    </row>
    <row r="631" spans="3:27" ht="45" x14ac:dyDescent="0.25">
      <c r="C631" s="1" t="str">
        <f>_xlfn.XLOOKUP(Tabla9[[#This Row],[PROGRAMA ORIGEN]],PROGRAMAS_N[PROGRAMAS ORIGEN],PROGRAMAS_N[NIVEL],"")</f>
        <v>TECNÓLOGO</v>
      </c>
      <c r="D631" s="16" t="s">
        <v>185</v>
      </c>
      <c r="E631" s="14">
        <v>210201025</v>
      </c>
      <c r="F631" s="10" t="s">
        <v>888</v>
      </c>
      <c r="G631" s="10" t="str" cm="1">
        <f t="array" ref="G631">+_xlfn.XLOOKUP(Tabla9[[#This Row],[ESPACIO ACADÉMICO DESTINO]]&amp;Tabla9[[#This Row],[PROGRAMA DESTINO]],Tabla49[ESPACIO ACADÉMICO DESTINO]&amp;Tabla49[PROGRAMA],Tabla49[CÓDIGO],"")</f>
        <v/>
      </c>
      <c r="H631" s="10"/>
      <c r="I631" s="14" t="str" cm="1">
        <f t="array" ref="I631">+_xlfn.XLOOKUP(Tabla9[[#This Row],[ESPACIO ACADÉMICO DESTINO]]&amp;Tabla9[[#This Row],[PROGRAMA DESTINO]],Tabla49[ESPACIO ACADÉMICO DESTINO]&amp;Tabla49[PROGRAMA],Tabla49[CRÉDITOS],"")</f>
        <v/>
      </c>
      <c r="J631" s="14"/>
      <c r="K631" s="10" t="s">
        <v>65</v>
      </c>
    </row>
    <row r="632" spans="3:27" ht="45" x14ac:dyDescent="0.25">
      <c r="C632" s="1" t="str">
        <f>_xlfn.XLOOKUP(Tabla9[[#This Row],[PROGRAMA ORIGEN]],PROGRAMAS_N[PROGRAMAS ORIGEN],PROGRAMAS_N[NIVEL],"")</f>
        <v>TECNÓLOGO</v>
      </c>
      <c r="D632" s="16" t="s">
        <v>185</v>
      </c>
      <c r="E632" s="14">
        <v>210201032</v>
      </c>
      <c r="F632" s="10" t="s">
        <v>889</v>
      </c>
      <c r="G632" s="10" t="str" cm="1">
        <f t="array" ref="G632">+_xlfn.XLOOKUP(Tabla9[[#This Row],[ESPACIO ACADÉMICO DESTINO]]&amp;Tabla9[[#This Row],[PROGRAMA DESTINO]],Tabla49[ESPACIO ACADÉMICO DESTINO]&amp;Tabla49[PROGRAMA],Tabla49[CÓDIGO],"")</f>
        <v/>
      </c>
      <c r="H632" s="10"/>
      <c r="I632" s="14" t="str" cm="1">
        <f t="array" ref="I632">+_xlfn.XLOOKUP(Tabla9[[#This Row],[ESPACIO ACADÉMICO DESTINO]]&amp;Tabla9[[#This Row],[PROGRAMA DESTINO]],Tabla49[ESPACIO ACADÉMICO DESTINO]&amp;Tabla49[PROGRAMA],Tabla49[CRÉDITOS],"")</f>
        <v/>
      </c>
      <c r="J632" s="14"/>
      <c r="K632" s="10" t="s">
        <v>65</v>
      </c>
    </row>
    <row r="633" spans="3:27" ht="30" x14ac:dyDescent="0.25">
      <c r="C633" s="1" t="str">
        <f>_xlfn.XLOOKUP(Tabla9[[#This Row],[PROGRAMA ORIGEN]],PROGRAMAS_N[PROGRAMAS ORIGEN],PROGRAMAS_N[NIVEL],"")</f>
        <v>TECNÓLOGO</v>
      </c>
      <c r="D633" s="16" t="s">
        <v>185</v>
      </c>
      <c r="E633" s="14">
        <v>210201035</v>
      </c>
      <c r="F633" s="10" t="s">
        <v>890</v>
      </c>
      <c r="G633" s="10" t="str" cm="1">
        <f t="array" ref="G633">+_xlfn.XLOOKUP(Tabla9[[#This Row],[ESPACIO ACADÉMICO DESTINO]]&amp;Tabla9[[#This Row],[PROGRAMA DESTINO]],Tabla49[ESPACIO ACADÉMICO DESTINO]&amp;Tabla49[PROGRAMA],Tabla49[CÓDIGO],"")</f>
        <v/>
      </c>
      <c r="H633" s="10"/>
      <c r="I633" s="14" t="str" cm="1">
        <f t="array" ref="I633">+_xlfn.XLOOKUP(Tabla9[[#This Row],[ESPACIO ACADÉMICO DESTINO]]&amp;Tabla9[[#This Row],[PROGRAMA DESTINO]],Tabla49[ESPACIO ACADÉMICO DESTINO]&amp;Tabla49[PROGRAMA],Tabla49[CRÉDITOS],"")</f>
        <v/>
      </c>
      <c r="J633" s="14"/>
      <c r="K633" s="10" t="s">
        <v>65</v>
      </c>
    </row>
    <row r="634" spans="3:27" ht="30" x14ac:dyDescent="0.25">
      <c r="C634" s="1" t="str">
        <f>_xlfn.XLOOKUP(Tabla9[[#This Row],[PROGRAMA ORIGEN]],PROGRAMAS_N[PROGRAMAS ORIGEN],PROGRAMAS_N[NIVEL],"")</f>
        <v>TECNÓLOGO</v>
      </c>
      <c r="D634" s="16" t="s">
        <v>185</v>
      </c>
      <c r="E634" s="14">
        <v>210201017</v>
      </c>
      <c r="F634" s="10" t="s">
        <v>891</v>
      </c>
      <c r="G634" s="10" cm="1">
        <f t="array" ref="G634">+_xlfn.XLOOKUP(Tabla9[[#This Row],[ESPACIO ACADÉMICO DESTINO]]&amp;Tabla9[[#This Row],[PROGRAMA DESTINO]],Tabla49[ESPACIO ACADÉMICO DESTINO]&amp;Tabla49[PROGRAMA],Tabla49[CÓDIGO],"")</f>
        <v>30383</v>
      </c>
      <c r="H634" s="10" t="s">
        <v>555</v>
      </c>
      <c r="I634" s="14" cm="1">
        <f t="array" ref="I634">+_xlfn.XLOOKUP(Tabla9[[#This Row],[ESPACIO ACADÉMICO DESTINO]]&amp;Tabla9[[#This Row],[PROGRAMA DESTINO]],Tabla49[ESPACIO ACADÉMICO DESTINO]&amp;Tabla49[PROGRAMA],Tabla49[CRÉDITOS],"")</f>
        <v>3</v>
      </c>
      <c r="J634" s="14">
        <v>4.5</v>
      </c>
      <c r="K634" s="10" t="s">
        <v>65</v>
      </c>
    </row>
    <row r="635" spans="3:27" ht="30" x14ac:dyDescent="0.25">
      <c r="C635" s="1" t="str">
        <f>_xlfn.XLOOKUP(Tabla9[[#This Row],[PROGRAMA ORIGEN]],PROGRAMAS_N[PROGRAMAS ORIGEN],PROGRAMAS_N[NIVEL],"")</f>
        <v>TECNÓLOGO</v>
      </c>
      <c r="D635" s="16" t="s">
        <v>185</v>
      </c>
      <c r="E635" s="14">
        <v>210201019</v>
      </c>
      <c r="F635" s="10" t="s">
        <v>892</v>
      </c>
      <c r="G635" s="10" t="str" cm="1">
        <f t="array" ref="G635">+_xlfn.XLOOKUP(Tabla9[[#This Row],[ESPACIO ACADÉMICO DESTINO]]&amp;Tabla9[[#This Row],[PROGRAMA DESTINO]],Tabla49[ESPACIO ACADÉMICO DESTINO]&amp;Tabla49[PROGRAMA],Tabla49[CÓDIGO],"")</f>
        <v/>
      </c>
      <c r="H635" s="10"/>
      <c r="I635" s="14" t="str" cm="1">
        <f t="array" ref="I635">+_xlfn.XLOOKUP(Tabla9[[#This Row],[ESPACIO ACADÉMICO DESTINO]]&amp;Tabla9[[#This Row],[PROGRAMA DESTINO]],Tabla49[ESPACIO ACADÉMICO DESTINO]&amp;Tabla49[PROGRAMA],Tabla49[CRÉDITOS],"")</f>
        <v/>
      </c>
      <c r="J635" s="14"/>
      <c r="K635" s="10" t="s">
        <v>65</v>
      </c>
    </row>
    <row r="636" spans="3:27" ht="30" x14ac:dyDescent="0.25">
      <c r="C636" s="1" t="str">
        <f>_xlfn.XLOOKUP(Tabla9[[#This Row],[PROGRAMA ORIGEN]],PROGRAMAS_N[PROGRAMAS ORIGEN],PROGRAMAS_N[NIVEL],"")</f>
        <v>TECNÓLOGO</v>
      </c>
      <c r="D636" s="16" t="s">
        <v>185</v>
      </c>
      <c r="E636" s="14">
        <v>210601010</v>
      </c>
      <c r="F636" s="10" t="s">
        <v>849</v>
      </c>
      <c r="G636" s="10" t="str" cm="1">
        <f t="array" ref="G636">+_xlfn.XLOOKUP(Tabla9[[#This Row],[ESPACIO ACADÉMICO DESTINO]]&amp;Tabla9[[#This Row],[PROGRAMA DESTINO]],Tabla49[ESPACIO ACADÉMICO DESTINO]&amp;Tabla49[PROGRAMA],Tabla49[CÓDIGO],"")</f>
        <v/>
      </c>
      <c r="H636" s="10"/>
      <c r="I636" s="14" t="str" cm="1">
        <f t="array" ref="I636">+_xlfn.XLOOKUP(Tabla9[[#This Row],[ESPACIO ACADÉMICO DESTINO]]&amp;Tabla9[[#This Row],[PROGRAMA DESTINO]],Tabla49[ESPACIO ACADÉMICO DESTINO]&amp;Tabla49[PROGRAMA],Tabla49[CRÉDITOS],"")</f>
        <v/>
      </c>
      <c r="J636" s="14"/>
      <c r="K636" s="10" t="s">
        <v>65</v>
      </c>
    </row>
    <row r="637" spans="3:27" ht="30" x14ac:dyDescent="0.25">
      <c r="C637" s="1" t="str">
        <f>_xlfn.XLOOKUP(Tabla9[[#This Row],[PROGRAMA ORIGEN]],PROGRAMAS_N[PROGRAMAS ORIGEN],PROGRAMAS_N[NIVEL],"")</f>
        <v>TECNÓLOGO</v>
      </c>
      <c r="D637" s="16" t="s">
        <v>185</v>
      </c>
      <c r="E637" s="14">
        <v>210601011</v>
      </c>
      <c r="F637" s="10" t="s">
        <v>847</v>
      </c>
      <c r="G637" s="10" t="str" cm="1">
        <f t="array" ref="G637">+_xlfn.XLOOKUP(Tabla9[[#This Row],[ESPACIO ACADÉMICO DESTINO]]&amp;Tabla9[[#This Row],[PROGRAMA DESTINO]],Tabla49[ESPACIO ACADÉMICO DESTINO]&amp;Tabla49[PROGRAMA],Tabla49[CÓDIGO],"")</f>
        <v/>
      </c>
      <c r="H637" s="10"/>
      <c r="I637" s="14" t="str" cm="1">
        <f t="array" ref="I637">+_xlfn.XLOOKUP(Tabla9[[#This Row],[ESPACIO ACADÉMICO DESTINO]]&amp;Tabla9[[#This Row],[PROGRAMA DESTINO]],Tabla49[ESPACIO ACADÉMICO DESTINO]&amp;Tabla49[PROGRAMA],Tabla49[CRÉDITOS],"")</f>
        <v/>
      </c>
      <c r="J637" s="14"/>
      <c r="K637" s="10" t="s">
        <v>65</v>
      </c>
    </row>
    <row r="638" spans="3:27" ht="30" x14ac:dyDescent="0.25">
      <c r="C638" s="1" t="str">
        <f>_xlfn.XLOOKUP(Tabla9[[#This Row],[PROGRAMA ORIGEN]],PROGRAMAS_N[PROGRAMAS ORIGEN],PROGRAMAS_N[NIVEL],"")</f>
        <v>TECNÓLOGO</v>
      </c>
      <c r="D638" s="16" t="s">
        <v>185</v>
      </c>
      <c r="E638" s="14">
        <v>210201033</v>
      </c>
      <c r="F638" s="10" t="s">
        <v>893</v>
      </c>
      <c r="G638" s="10" cm="1">
        <f t="array" ref="G638">+_xlfn.XLOOKUP(Tabla9[[#This Row],[ESPACIO ACADÉMICO DESTINO]]&amp;Tabla9[[#This Row],[PROGRAMA DESTINO]],Tabla49[ESPACIO ACADÉMICO DESTINO]&amp;Tabla49[PROGRAMA],Tabla49[CÓDIGO],"")</f>
        <v>30514</v>
      </c>
      <c r="H638" s="10" t="s">
        <v>587</v>
      </c>
      <c r="I638" s="14" cm="1">
        <f t="array" ref="I638">+_xlfn.XLOOKUP(Tabla9[[#This Row],[ESPACIO ACADÉMICO DESTINO]]&amp;Tabla9[[#This Row],[PROGRAMA DESTINO]],Tabla49[ESPACIO ACADÉMICO DESTINO]&amp;Tabla49[PROGRAMA],Tabla49[CRÉDITOS],"")</f>
        <v>2</v>
      </c>
      <c r="J638" s="14">
        <v>4.5</v>
      </c>
      <c r="K638" s="10" t="s">
        <v>65</v>
      </c>
    </row>
    <row r="639" spans="3:27" ht="30" x14ac:dyDescent="0.25">
      <c r="C639" s="10" t="str">
        <f>_xlfn.XLOOKUP(Tabla9[[#This Row],[PROGRAMA ORIGEN]],PROGRAMAS_N[PROGRAMAS ORIGEN],PROGRAMAS_N[NIVEL],"")</f>
        <v>TECNÓLOGO</v>
      </c>
      <c r="D639" s="16" t="s">
        <v>190</v>
      </c>
      <c r="E639" s="14">
        <v>240201500</v>
      </c>
      <c r="F639" s="10" t="s">
        <v>144</v>
      </c>
      <c r="G639" s="10" cm="1">
        <f t="array" ref="G639">+_xlfn.XLOOKUP(Tabla9[[#This Row],[ESPACIO ACADÉMICO DESTINO]]&amp;Tabla9[[#This Row],[PROGRAMA DESTINO]],Tabla49[ESPACIO ACADÉMICO DESTINO]&amp;Tabla49[PROGRAMA],Tabla49[CÓDIGO],"")</f>
        <v>30391</v>
      </c>
      <c r="H639" s="10" t="s">
        <v>565</v>
      </c>
      <c r="I639" s="14" cm="1">
        <f t="array" ref="I639">+_xlfn.XLOOKUP(Tabla9[[#This Row],[ESPACIO ACADÉMICO DESTINO]]&amp;Tabla9[[#This Row],[PROGRAMA DESTINO]],Tabla49[ESPACIO ACADÉMICO DESTINO]&amp;Tabla49[PROGRAMA],Tabla49[CRÉDITOS],"")</f>
        <v>2</v>
      </c>
      <c r="J639" s="14">
        <v>4.5</v>
      </c>
      <c r="K639" s="10" t="s">
        <v>65</v>
      </c>
    </row>
    <row r="640" spans="3:27" ht="30" x14ac:dyDescent="0.25">
      <c r="C640" s="1" t="str">
        <f>_xlfn.XLOOKUP(Tabla9[[#This Row],[PROGRAMA ORIGEN]],PROGRAMAS_N[PROGRAMAS ORIGEN],PROGRAMAS_N[NIVEL],"")</f>
        <v>TECNÓLOGO</v>
      </c>
      <c r="D640" s="16" t="s">
        <v>190</v>
      </c>
      <c r="E640" s="14">
        <v>210101005</v>
      </c>
      <c r="F640" s="10" t="s">
        <v>510</v>
      </c>
      <c r="G640" s="10" cm="1">
        <f t="array" ref="G640">+_xlfn.XLOOKUP(Tabla9[[#This Row],[ESPACIO ACADÉMICO DESTINO]]&amp;Tabla9[[#This Row],[PROGRAMA DESTINO]],Tabla49[ESPACIO ACADÉMICO DESTINO]&amp;Tabla49[PROGRAMA],Tabla49[CÓDIGO],"")</f>
        <v>30515</v>
      </c>
      <c r="H640" s="10" t="s">
        <v>588</v>
      </c>
      <c r="I640" s="14" cm="1">
        <f t="array" ref="I640">+_xlfn.XLOOKUP(Tabla9[[#This Row],[ESPACIO ACADÉMICO DESTINO]]&amp;Tabla9[[#This Row],[PROGRAMA DESTINO]],Tabla49[ESPACIO ACADÉMICO DESTINO]&amp;Tabla49[PROGRAMA],Tabla49[CRÉDITOS],"")</f>
        <v>3</v>
      </c>
      <c r="J640" s="14">
        <v>4.5</v>
      </c>
      <c r="K640" s="10" t="s">
        <v>65</v>
      </c>
    </row>
    <row r="641" spans="3:11" ht="30" x14ac:dyDescent="0.25">
      <c r="C641" s="1" t="str">
        <f>_xlfn.XLOOKUP(Tabla9[[#This Row],[PROGRAMA ORIGEN]],PROGRAMAS_N[PROGRAMAS ORIGEN],PROGRAMAS_N[NIVEL],"")</f>
        <v>TECNÓLOGO</v>
      </c>
      <c r="D641" s="16" t="s">
        <v>190</v>
      </c>
      <c r="E641" s="14">
        <v>210101023</v>
      </c>
      <c r="F641" s="10" t="s">
        <v>894</v>
      </c>
      <c r="G641" s="10" cm="1">
        <f t="array" ref="G641">+_xlfn.XLOOKUP(Tabla9[[#This Row],[ESPACIO ACADÉMICO DESTINO]]&amp;Tabla9[[#This Row],[PROGRAMA DESTINO]],Tabla49[ESPACIO ACADÉMICO DESTINO]&amp;Tabla49[PROGRAMA],Tabla49[CÓDIGO],"")</f>
        <v>30381</v>
      </c>
      <c r="H641" s="10" t="s">
        <v>552</v>
      </c>
      <c r="I641" s="14" cm="1">
        <f t="array" ref="I641">+_xlfn.XLOOKUP(Tabla9[[#This Row],[ESPACIO ACADÉMICO DESTINO]]&amp;Tabla9[[#This Row],[PROGRAMA DESTINO]],Tabla49[ESPACIO ACADÉMICO DESTINO]&amp;Tabla49[PROGRAMA],Tabla49[CRÉDITOS],"")</f>
        <v>3</v>
      </c>
      <c r="J641" s="14">
        <v>4.5</v>
      </c>
      <c r="K641" s="10" t="s">
        <v>65</v>
      </c>
    </row>
    <row r="642" spans="3:11" ht="30" x14ac:dyDescent="0.25">
      <c r="C642" s="1" t="str">
        <f>_xlfn.XLOOKUP(Tabla9[[#This Row],[PROGRAMA ORIGEN]],PROGRAMAS_N[PROGRAMAS ORIGEN],PROGRAMAS_N[NIVEL],"")</f>
        <v>TECNÓLOGO</v>
      </c>
      <c r="D642" s="16" t="s">
        <v>190</v>
      </c>
      <c r="E642" s="14">
        <v>210601013</v>
      </c>
      <c r="F642" s="10" t="s">
        <v>598</v>
      </c>
      <c r="G642" s="10" t="str" cm="1">
        <f t="array" ref="G642">+_xlfn.XLOOKUP(Tabla9[[#This Row],[ESPACIO ACADÉMICO DESTINO]]&amp;Tabla9[[#This Row],[PROGRAMA DESTINO]],Tabla49[ESPACIO ACADÉMICO DESTINO]&amp;Tabla49[PROGRAMA],Tabla49[CÓDIGO],"")</f>
        <v/>
      </c>
      <c r="H642" s="10"/>
      <c r="I642" s="14" t="str" cm="1">
        <f t="array" ref="I642">+_xlfn.XLOOKUP(Tabla9[[#This Row],[ESPACIO ACADÉMICO DESTINO]]&amp;Tabla9[[#This Row],[PROGRAMA DESTINO]],Tabla49[ESPACIO ACADÉMICO DESTINO]&amp;Tabla49[PROGRAMA],Tabla49[CRÉDITOS],"")</f>
        <v/>
      </c>
      <c r="J642" s="14"/>
      <c r="K642" s="10" t="s">
        <v>65</v>
      </c>
    </row>
    <row r="643" spans="3:11" ht="30" x14ac:dyDescent="0.25">
      <c r="C643" s="1" t="str">
        <f>_xlfn.XLOOKUP(Tabla9[[#This Row],[PROGRAMA ORIGEN]],PROGRAMAS_N[PROGRAMAS ORIGEN],PROGRAMAS_N[NIVEL],"")</f>
        <v>TECNÓLOGO</v>
      </c>
      <c r="D643" s="16" t="s">
        <v>190</v>
      </c>
      <c r="E643" s="14">
        <v>210601002</v>
      </c>
      <c r="F643" s="10" t="s">
        <v>895</v>
      </c>
      <c r="G643" s="10" cm="1">
        <f t="array" ref="G643">+_xlfn.XLOOKUP(Tabla9[[#This Row],[ESPACIO ACADÉMICO DESTINO]]&amp;Tabla9[[#This Row],[PROGRAMA DESTINO]],Tabla49[ESPACIO ACADÉMICO DESTINO]&amp;Tabla49[PROGRAMA],Tabla49[CÓDIGO],"")</f>
        <v>30396</v>
      </c>
      <c r="H643" s="10" t="s">
        <v>408</v>
      </c>
      <c r="I643" s="14" cm="1">
        <f t="array" ref="I643">+_xlfn.XLOOKUP(Tabla9[[#This Row],[ESPACIO ACADÉMICO DESTINO]]&amp;Tabla9[[#This Row],[PROGRAMA DESTINO]],Tabla49[ESPACIO ACADÉMICO DESTINO]&amp;Tabla49[PROGRAMA],Tabla49[CRÉDITOS],"")</f>
        <v>3</v>
      </c>
      <c r="J643" s="14">
        <v>4.5</v>
      </c>
      <c r="K643" s="10" t="s">
        <v>65</v>
      </c>
    </row>
    <row r="644" spans="3:11" ht="30" x14ac:dyDescent="0.25">
      <c r="C644" s="1" t="str">
        <f>_xlfn.XLOOKUP(Tabla9[[#This Row],[PROGRAMA ORIGEN]],PROGRAMAS_N[PROGRAMAS ORIGEN],PROGRAMAS_N[NIVEL],"")</f>
        <v>TECNÓLOGO</v>
      </c>
      <c r="D644" s="16" t="s">
        <v>190</v>
      </c>
      <c r="E644" s="14">
        <v>210601003</v>
      </c>
      <c r="F644" s="10" t="s">
        <v>843</v>
      </c>
      <c r="G644" s="10" cm="1">
        <f t="array" ref="G644">+_xlfn.XLOOKUP(Tabla9[[#This Row],[ESPACIO ACADÉMICO DESTINO]]&amp;Tabla9[[#This Row],[PROGRAMA DESTINO]],Tabla49[ESPACIO ACADÉMICO DESTINO]&amp;Tabla49[PROGRAMA],Tabla49[CÓDIGO],"")</f>
        <v>30383</v>
      </c>
      <c r="H644" s="10" t="s">
        <v>896</v>
      </c>
      <c r="I644" s="14" cm="1">
        <f t="array" ref="I644">+_xlfn.XLOOKUP(Tabla9[[#This Row],[ESPACIO ACADÉMICO DESTINO]]&amp;Tabla9[[#This Row],[PROGRAMA DESTINO]],Tabla49[ESPACIO ACADÉMICO DESTINO]&amp;Tabla49[PROGRAMA],Tabla49[CRÉDITOS],"")</f>
        <v>3</v>
      </c>
      <c r="J644" s="14">
        <v>4.5</v>
      </c>
      <c r="K644" s="10" t="s">
        <v>65</v>
      </c>
    </row>
    <row r="645" spans="3:11" ht="30" x14ac:dyDescent="0.25">
      <c r="C645" s="1" t="str">
        <f>_xlfn.XLOOKUP(Tabla9[[#This Row],[PROGRAMA ORIGEN]],PROGRAMAS_N[PROGRAMAS ORIGEN],PROGRAMAS_N[NIVEL],"")</f>
        <v>TECNÓLOGO</v>
      </c>
      <c r="D645" s="16" t="s">
        <v>190</v>
      </c>
      <c r="E645" s="14">
        <v>210601009</v>
      </c>
      <c r="F645" s="10" t="s">
        <v>897</v>
      </c>
      <c r="G645" s="10" t="str" cm="1">
        <f t="array" ref="G645">+_xlfn.XLOOKUP(Tabla9[[#This Row],[ESPACIO ACADÉMICO DESTINO]]&amp;Tabla9[[#This Row],[PROGRAMA DESTINO]],Tabla49[ESPACIO ACADÉMICO DESTINO]&amp;Tabla49[PROGRAMA],Tabla49[CÓDIGO],"")</f>
        <v/>
      </c>
      <c r="H645" s="10"/>
      <c r="I645" s="14" t="str" cm="1">
        <f t="array" ref="I645">+_xlfn.XLOOKUP(Tabla9[[#This Row],[ESPACIO ACADÉMICO DESTINO]]&amp;Tabla9[[#This Row],[PROGRAMA DESTINO]],Tabla49[ESPACIO ACADÉMICO DESTINO]&amp;Tabla49[PROGRAMA],Tabla49[CRÉDITOS],"")</f>
        <v/>
      </c>
      <c r="J645" s="14"/>
      <c r="K645" s="10" t="s">
        <v>65</v>
      </c>
    </row>
    <row r="646" spans="3:11" ht="30" x14ac:dyDescent="0.25">
      <c r="C646" s="1" t="str">
        <f>_xlfn.XLOOKUP(Tabla9[[#This Row],[PROGRAMA ORIGEN]],PROGRAMAS_N[PROGRAMAS ORIGEN],PROGRAMAS_N[NIVEL],"")</f>
        <v>TECNÓLOGO</v>
      </c>
      <c r="D646" s="16" t="s">
        <v>190</v>
      </c>
      <c r="E646" s="14">
        <v>210601010</v>
      </c>
      <c r="F646" s="10" t="s">
        <v>849</v>
      </c>
      <c r="G646" s="10" t="str" cm="1">
        <f t="array" ref="G646">+_xlfn.XLOOKUP(Tabla9[[#This Row],[ESPACIO ACADÉMICO DESTINO]]&amp;Tabla9[[#This Row],[PROGRAMA DESTINO]],Tabla49[ESPACIO ACADÉMICO DESTINO]&amp;Tabla49[PROGRAMA],Tabla49[CÓDIGO],"")</f>
        <v/>
      </c>
      <c r="H646" s="10"/>
      <c r="I646" s="14" t="str" cm="1">
        <f t="array" ref="I646">+_xlfn.XLOOKUP(Tabla9[[#This Row],[ESPACIO ACADÉMICO DESTINO]]&amp;Tabla9[[#This Row],[PROGRAMA DESTINO]],Tabla49[ESPACIO ACADÉMICO DESTINO]&amp;Tabla49[PROGRAMA],Tabla49[CRÉDITOS],"")</f>
        <v/>
      </c>
      <c r="J646" s="14"/>
      <c r="K646" s="10" t="s">
        <v>65</v>
      </c>
    </row>
    <row r="647" spans="3:11" ht="30" x14ac:dyDescent="0.25">
      <c r="C647" s="1" t="str">
        <f>_xlfn.XLOOKUP(Tabla9[[#This Row],[PROGRAMA ORIGEN]],PROGRAMAS_N[PROGRAMAS ORIGEN],PROGRAMAS_N[NIVEL],"")</f>
        <v>TECNÓLOGO</v>
      </c>
      <c r="D647" s="16" t="s">
        <v>190</v>
      </c>
      <c r="E647" s="14">
        <v>210601011</v>
      </c>
      <c r="F647" s="10" t="s">
        <v>847</v>
      </c>
      <c r="G647" s="10" t="str" cm="1">
        <f t="array" ref="G647">+_xlfn.XLOOKUP(Tabla9[[#This Row],[ESPACIO ACADÉMICO DESTINO]]&amp;Tabla9[[#This Row],[PROGRAMA DESTINO]],Tabla49[ESPACIO ACADÉMICO DESTINO]&amp;Tabla49[PROGRAMA],Tabla49[CÓDIGO],"")</f>
        <v/>
      </c>
      <c r="H647" s="10"/>
      <c r="I647" s="14" t="str" cm="1">
        <f t="array" ref="I647">+_xlfn.XLOOKUP(Tabla9[[#This Row],[ESPACIO ACADÉMICO DESTINO]]&amp;Tabla9[[#This Row],[PROGRAMA DESTINO]],Tabla49[ESPACIO ACADÉMICO DESTINO]&amp;Tabla49[PROGRAMA],Tabla49[CRÉDITOS],"")</f>
        <v/>
      </c>
      <c r="J647" s="14"/>
      <c r="K647" s="10" t="s">
        <v>65</v>
      </c>
    </row>
    <row r="648" spans="3:11" ht="30" x14ac:dyDescent="0.25">
      <c r="C648" s="1" t="str">
        <f>_xlfn.XLOOKUP(Tabla9[[#This Row],[PROGRAMA ORIGEN]],PROGRAMAS_N[PROGRAMAS ORIGEN],PROGRAMAS_N[NIVEL],"")</f>
        <v>TECNÓLOGO</v>
      </c>
      <c r="D648" s="16" t="s">
        <v>190</v>
      </c>
      <c r="E648" s="14">
        <v>210201033</v>
      </c>
      <c r="F648" s="10" t="s">
        <v>893</v>
      </c>
      <c r="G648" s="10" t="str" cm="1">
        <f t="array" ref="G648">+_xlfn.XLOOKUP(Tabla9[[#This Row],[ESPACIO ACADÉMICO DESTINO]]&amp;Tabla9[[#This Row],[PROGRAMA DESTINO]],Tabla49[ESPACIO ACADÉMICO DESTINO]&amp;Tabla49[PROGRAMA],Tabla49[CÓDIGO],"")</f>
        <v/>
      </c>
      <c r="H648" s="10"/>
      <c r="I648" s="14" t="str" cm="1">
        <f t="array" ref="I648">+_xlfn.XLOOKUP(Tabla9[[#This Row],[ESPACIO ACADÉMICO DESTINO]]&amp;Tabla9[[#This Row],[PROGRAMA DESTINO]],Tabla49[ESPACIO ACADÉMICO DESTINO]&amp;Tabla49[PROGRAMA],Tabla49[CRÉDITOS],"")</f>
        <v/>
      </c>
      <c r="J648" s="14"/>
      <c r="K648" s="10" t="s">
        <v>65</v>
      </c>
    </row>
    <row r="649" spans="3:11" ht="45" x14ac:dyDescent="0.25">
      <c r="C649" s="1" t="str">
        <f>_xlfn.XLOOKUP(Tabla9[[#This Row],[PROGRAMA ORIGEN]],PROGRAMAS_N[PROGRAMAS ORIGEN],PROGRAMAS_N[NIVEL],"")</f>
        <v>TECNÓLOGO</v>
      </c>
      <c r="D649" s="16" t="s">
        <v>190</v>
      </c>
      <c r="E649" s="14">
        <v>210601014</v>
      </c>
      <c r="F649" s="10" t="s">
        <v>823</v>
      </c>
      <c r="G649" s="10" cm="1">
        <f t="array" ref="G649">+_xlfn.XLOOKUP(Tabla9[[#This Row],[ESPACIO ACADÉMICO DESTINO]]&amp;Tabla9[[#This Row],[PROGRAMA DESTINO]],Tabla49[ESPACIO ACADÉMICO DESTINO]&amp;Tabla49[PROGRAMA],Tabla49[CÓDIGO],"")</f>
        <v>30508</v>
      </c>
      <c r="H649" s="10" t="s">
        <v>581</v>
      </c>
      <c r="I649" s="14" cm="1">
        <f t="array" ref="I649">+_xlfn.XLOOKUP(Tabla9[[#This Row],[ESPACIO ACADÉMICO DESTINO]]&amp;Tabla9[[#This Row],[PROGRAMA DESTINO]],Tabla49[ESPACIO ACADÉMICO DESTINO]&amp;Tabla49[PROGRAMA],Tabla49[CRÉDITOS],"")</f>
        <v>3</v>
      </c>
      <c r="J649" s="14">
        <v>4.5</v>
      </c>
      <c r="K649" s="10" t="s">
        <v>65</v>
      </c>
    </row>
    <row r="650" spans="3:11" ht="30" x14ac:dyDescent="0.25">
      <c r="C650" s="1" t="str">
        <f>_xlfn.XLOOKUP(Tabla9[[#This Row],[PROGRAMA ORIGEN]],PROGRAMAS_N[PROGRAMAS ORIGEN],PROGRAMAS_N[NIVEL],"")</f>
        <v>TECNÓLOGO</v>
      </c>
      <c r="D650" s="16" t="s">
        <v>190</v>
      </c>
      <c r="E650" s="14">
        <v>260101001</v>
      </c>
      <c r="F650" s="10" t="s">
        <v>830</v>
      </c>
      <c r="G650" s="10" cm="1">
        <f t="array" ref="G650">+_xlfn.XLOOKUP(Tabla9[[#This Row],[ESPACIO ACADÉMICO DESTINO]]&amp;Tabla9[[#This Row],[PROGRAMA DESTINO]],Tabla49[ESPACIO ACADÉMICO DESTINO]&amp;Tabla49[PROGRAMA],Tabla49[CÓDIGO],"")</f>
        <v>30380</v>
      </c>
      <c r="H650" s="10" t="s">
        <v>550</v>
      </c>
      <c r="I650" s="14" cm="1">
        <f t="array" ref="I650">+_xlfn.XLOOKUP(Tabla9[[#This Row],[ESPACIO ACADÉMICO DESTINO]]&amp;Tabla9[[#This Row],[PROGRAMA DESTINO]],Tabla49[ESPACIO ACADÉMICO DESTINO]&amp;Tabla49[PROGRAMA],Tabla49[CRÉDITOS],"")</f>
        <v>3</v>
      </c>
      <c r="J650" s="14">
        <v>4.5</v>
      </c>
      <c r="K650" s="10" t="s">
        <v>65</v>
      </c>
    </row>
    <row r="651" spans="3:11" ht="30" x14ac:dyDescent="0.25">
      <c r="C651" s="1" t="str">
        <f>_xlfn.XLOOKUP(Tabla9[[#This Row],[PROGRAMA ORIGEN]],PROGRAMAS_N[PROGRAMAS ORIGEN],PROGRAMAS_N[NIVEL],"")</f>
        <v>TECNÓLOGO</v>
      </c>
      <c r="D651" s="16" t="s">
        <v>190</v>
      </c>
      <c r="E651" s="14">
        <v>260101016</v>
      </c>
      <c r="F651" s="10" t="s">
        <v>835</v>
      </c>
      <c r="G651" s="10" cm="1">
        <f t="array" ref="G651">+_xlfn.XLOOKUP(Tabla9[[#This Row],[ESPACIO ACADÉMICO DESTINO]]&amp;Tabla9[[#This Row],[PROGRAMA DESTINO]],Tabla49[ESPACIO ACADÉMICO DESTINO]&amp;Tabla49[PROGRAMA],Tabla49[CÓDIGO],"")</f>
        <v>30505</v>
      </c>
      <c r="H651" s="10" t="s">
        <v>576</v>
      </c>
      <c r="I651" s="14" cm="1">
        <f t="array" ref="I651">+_xlfn.XLOOKUP(Tabla9[[#This Row],[ESPACIO ACADÉMICO DESTINO]]&amp;Tabla9[[#This Row],[PROGRAMA DESTINO]],Tabla49[ESPACIO ACADÉMICO DESTINO]&amp;Tabla49[PROGRAMA],Tabla49[CRÉDITOS],"")</f>
        <v>2</v>
      </c>
      <c r="J651" s="14">
        <v>4.5</v>
      </c>
      <c r="K651" s="10" t="s">
        <v>65</v>
      </c>
    </row>
    <row r="652" spans="3:11" ht="30" x14ac:dyDescent="0.25">
      <c r="C652" s="10" t="str">
        <f>_xlfn.XLOOKUP(Tabla9[[#This Row],[PROGRAMA ORIGEN]],PROGRAMAS_N[PROGRAMAS ORIGEN],PROGRAMAS_N[NIVEL],"")</f>
        <v>TECNÓLOGO</v>
      </c>
      <c r="D652" s="16" t="s">
        <v>193</v>
      </c>
      <c r="E652" s="14">
        <v>240201500</v>
      </c>
      <c r="F652" s="10" t="s">
        <v>144</v>
      </c>
      <c r="G652" s="10" cm="1">
        <f t="array" ref="G652">+_xlfn.XLOOKUP(Tabla9[[#This Row],[ESPACIO ACADÉMICO DESTINO]]&amp;Tabla9[[#This Row],[PROGRAMA DESTINO]],Tabla49[ESPACIO ACADÉMICO DESTINO]&amp;Tabla49[PROGRAMA],Tabla49[CÓDIGO],"")</f>
        <v>30391</v>
      </c>
      <c r="H652" s="10" t="s">
        <v>565</v>
      </c>
      <c r="I652" s="14" cm="1">
        <f t="array" ref="I652">+_xlfn.XLOOKUP(Tabla9[[#This Row],[ESPACIO ACADÉMICO DESTINO]]&amp;Tabla9[[#This Row],[PROGRAMA DESTINO]],Tabla49[ESPACIO ACADÉMICO DESTINO]&amp;Tabla49[PROGRAMA],Tabla49[CRÉDITOS],"")</f>
        <v>2</v>
      </c>
      <c r="J652" s="14">
        <v>4.5</v>
      </c>
      <c r="K652" s="10" t="s">
        <v>65</v>
      </c>
    </row>
    <row r="653" spans="3:11" ht="30" x14ac:dyDescent="0.25">
      <c r="C653" s="1" t="str">
        <f>_xlfn.XLOOKUP(Tabla9[[#This Row],[PROGRAMA ORIGEN]],PROGRAMAS_N[PROGRAMAS ORIGEN],PROGRAMAS_N[NIVEL],"")</f>
        <v>TECNÓLOGO</v>
      </c>
      <c r="D653" s="16" t="s">
        <v>193</v>
      </c>
      <c r="E653" s="14">
        <v>210301029</v>
      </c>
      <c r="F653" s="10" t="s">
        <v>873</v>
      </c>
      <c r="G653" s="10" cm="1">
        <f t="array" ref="G653">+_xlfn.XLOOKUP(Tabla9[[#This Row],[ESPACIO ACADÉMICO DESTINO]]&amp;Tabla9[[#This Row],[PROGRAMA DESTINO]],Tabla49[ESPACIO ACADÉMICO DESTINO]&amp;Tabla49[PROGRAMA],Tabla49[CÓDIGO],"")</f>
        <v>30381</v>
      </c>
      <c r="H653" s="10" t="s">
        <v>552</v>
      </c>
      <c r="I653" s="14" cm="1">
        <f t="array" ref="I653">+_xlfn.XLOOKUP(Tabla9[[#This Row],[ESPACIO ACADÉMICO DESTINO]]&amp;Tabla9[[#This Row],[PROGRAMA DESTINO]],Tabla49[ESPACIO ACADÉMICO DESTINO]&amp;Tabla49[PROGRAMA],Tabla49[CRÉDITOS],"")</f>
        <v>3</v>
      </c>
      <c r="J653" s="14">
        <v>4.5</v>
      </c>
      <c r="K653" s="10" t="s">
        <v>65</v>
      </c>
    </row>
    <row r="654" spans="3:11" ht="30" x14ac:dyDescent="0.25">
      <c r="C654" s="1" t="str">
        <f>_xlfn.XLOOKUP(Tabla9[[#This Row],[PROGRAMA ORIGEN]],PROGRAMAS_N[PROGRAMAS ORIGEN],PROGRAMAS_N[NIVEL],"")</f>
        <v>TECNÓLOGO</v>
      </c>
      <c r="D654" s="16" t="s">
        <v>193</v>
      </c>
      <c r="E654" s="14">
        <v>260101001</v>
      </c>
      <c r="F654" s="10" t="s">
        <v>830</v>
      </c>
      <c r="G654" s="10" cm="1">
        <f t="array" ref="G654">+_xlfn.XLOOKUP(Tabla9[[#This Row],[ESPACIO ACADÉMICO DESTINO]]&amp;Tabla9[[#This Row],[PROGRAMA DESTINO]],Tabla49[ESPACIO ACADÉMICO DESTINO]&amp;Tabla49[PROGRAMA],Tabla49[CÓDIGO],"")</f>
        <v>30505</v>
      </c>
      <c r="H654" s="10" t="s">
        <v>576</v>
      </c>
      <c r="I654" s="14" cm="1">
        <f t="array" ref="I654">+_xlfn.XLOOKUP(Tabla9[[#This Row],[ESPACIO ACADÉMICO DESTINO]]&amp;Tabla9[[#This Row],[PROGRAMA DESTINO]],Tabla49[ESPACIO ACADÉMICO DESTINO]&amp;Tabla49[PROGRAMA],Tabla49[CRÉDITOS],"")</f>
        <v>2</v>
      </c>
      <c r="J654" s="14">
        <v>4.5</v>
      </c>
      <c r="K654" s="10" t="s">
        <v>65</v>
      </c>
    </row>
    <row r="655" spans="3:11" ht="45" x14ac:dyDescent="0.25">
      <c r="C655" s="1" t="str">
        <f>_xlfn.XLOOKUP(Tabla9[[#This Row],[PROGRAMA ORIGEN]],PROGRAMAS_N[PROGRAMAS ORIGEN],PROGRAMAS_N[NIVEL],"")</f>
        <v>TECNÓLOGO</v>
      </c>
      <c r="D655" s="16" t="s">
        <v>193</v>
      </c>
      <c r="E655" s="14">
        <v>260101014</v>
      </c>
      <c r="F655" s="10" t="s">
        <v>267</v>
      </c>
      <c r="G655" s="10" cm="1">
        <f t="array" ref="G655">+_xlfn.XLOOKUP(Tabla9[[#This Row],[ESPACIO ACADÉMICO DESTINO]]&amp;Tabla9[[#This Row],[PROGRAMA DESTINO]],Tabla49[ESPACIO ACADÉMICO DESTINO]&amp;Tabla49[PROGRAMA],Tabla49[CÓDIGO],"")</f>
        <v>30396</v>
      </c>
      <c r="H655" s="10" t="s">
        <v>408</v>
      </c>
      <c r="I655" s="14" cm="1">
        <f t="array" ref="I655">+_xlfn.XLOOKUP(Tabla9[[#This Row],[ESPACIO ACADÉMICO DESTINO]]&amp;Tabla9[[#This Row],[PROGRAMA DESTINO]],Tabla49[ESPACIO ACADÉMICO DESTINO]&amp;Tabla49[PROGRAMA],Tabla49[CRÉDITOS],"")</f>
        <v>3</v>
      </c>
      <c r="J655" s="14">
        <v>4.5</v>
      </c>
      <c r="K655" s="10" t="s">
        <v>65</v>
      </c>
    </row>
    <row r="656" spans="3:11" ht="30" x14ac:dyDescent="0.25">
      <c r="C656" s="1" t="str">
        <f>_xlfn.XLOOKUP(Tabla9[[#This Row],[PROGRAMA ORIGEN]],PROGRAMAS_N[PROGRAMAS ORIGEN],PROGRAMAS_N[NIVEL],"")</f>
        <v>TECNÓLOGO</v>
      </c>
      <c r="D656" s="16" t="s">
        <v>193</v>
      </c>
      <c r="E656" s="14">
        <v>260201033</v>
      </c>
      <c r="F656" s="10" t="s">
        <v>898</v>
      </c>
      <c r="G656" s="10" t="str" cm="1">
        <f t="array" ref="G656">+_xlfn.XLOOKUP(Tabla9[[#This Row],[ESPACIO ACADÉMICO DESTINO]]&amp;Tabla9[[#This Row],[PROGRAMA DESTINO]],Tabla49[ESPACIO ACADÉMICO DESTINO]&amp;Tabla49[PROGRAMA],Tabla49[CÓDIGO],"")</f>
        <v/>
      </c>
      <c r="H656" s="10"/>
      <c r="I656" s="14" t="str" cm="1">
        <f t="array" ref="I656">+_xlfn.XLOOKUP(Tabla9[[#This Row],[ESPACIO ACADÉMICO DESTINO]]&amp;Tabla9[[#This Row],[PROGRAMA DESTINO]],Tabla49[ESPACIO ACADÉMICO DESTINO]&amp;Tabla49[PROGRAMA],Tabla49[CRÉDITOS],"")</f>
        <v/>
      </c>
      <c r="J656" s="14"/>
      <c r="K656" s="10" t="s">
        <v>65</v>
      </c>
    </row>
    <row r="657" spans="3:11" ht="30" x14ac:dyDescent="0.25">
      <c r="C657" s="1" t="str">
        <f>_xlfn.XLOOKUP(Tabla9[[#This Row],[PROGRAMA ORIGEN]],PROGRAMAS_N[PROGRAMAS ORIGEN],PROGRAMAS_N[NIVEL],"")</f>
        <v>TECNÓLOGO</v>
      </c>
      <c r="D657" s="16" t="s">
        <v>193</v>
      </c>
      <c r="E657" s="14">
        <v>260201005</v>
      </c>
      <c r="F657" s="10" t="s">
        <v>899</v>
      </c>
      <c r="G657" s="10" cm="1">
        <f t="array" ref="G657">+_xlfn.XLOOKUP(Tabla9[[#This Row],[ESPACIO ACADÉMICO DESTINO]]&amp;Tabla9[[#This Row],[PROGRAMA DESTINO]],Tabla49[ESPACIO ACADÉMICO DESTINO]&amp;Tabla49[PROGRAMA],Tabla49[CÓDIGO],"")</f>
        <v>30515</v>
      </c>
      <c r="H657" s="10" t="s">
        <v>588</v>
      </c>
      <c r="I657" s="14" cm="1">
        <f t="array" ref="I657">+_xlfn.XLOOKUP(Tabla9[[#This Row],[ESPACIO ACADÉMICO DESTINO]]&amp;Tabla9[[#This Row],[PROGRAMA DESTINO]],Tabla49[ESPACIO ACADÉMICO DESTINO]&amp;Tabla49[PROGRAMA],Tabla49[CRÉDITOS],"")</f>
        <v>3</v>
      </c>
      <c r="J657" s="14">
        <v>4.5</v>
      </c>
      <c r="K657" s="10" t="s">
        <v>65</v>
      </c>
    </row>
    <row r="658" spans="3:11" ht="30" x14ac:dyDescent="0.25">
      <c r="C658" s="1" t="str">
        <f>_xlfn.XLOOKUP(Tabla9[[#This Row],[PROGRAMA ORIGEN]],PROGRAMAS_N[PROGRAMAS ORIGEN],PROGRAMAS_N[NIVEL],"")</f>
        <v>TECNÓLOGO</v>
      </c>
      <c r="D658" s="16" t="s">
        <v>193</v>
      </c>
      <c r="E658" s="14">
        <v>260201018</v>
      </c>
      <c r="F658" s="10" t="s">
        <v>900</v>
      </c>
      <c r="G658" s="10" t="str" cm="1">
        <f t="array" ref="G658">+_xlfn.XLOOKUP(Tabla9[[#This Row],[ESPACIO ACADÉMICO DESTINO]]&amp;Tabla9[[#This Row],[PROGRAMA DESTINO]],Tabla49[ESPACIO ACADÉMICO DESTINO]&amp;Tabla49[PROGRAMA],Tabla49[CÓDIGO],"")</f>
        <v/>
      </c>
      <c r="H658" s="10"/>
      <c r="I658" s="14" t="str" cm="1">
        <f t="array" ref="I658">+_xlfn.XLOOKUP(Tabla9[[#This Row],[ESPACIO ACADÉMICO DESTINO]]&amp;Tabla9[[#This Row],[PROGRAMA DESTINO]],Tabla49[ESPACIO ACADÉMICO DESTINO]&amp;Tabla49[PROGRAMA],Tabla49[CRÉDITOS],"")</f>
        <v/>
      </c>
      <c r="J658" s="14"/>
      <c r="K658" s="10" t="s">
        <v>65</v>
      </c>
    </row>
    <row r="659" spans="3:11" ht="30" x14ac:dyDescent="0.25">
      <c r="C659" s="1" t="str">
        <f>_xlfn.XLOOKUP(Tabla9[[#This Row],[PROGRAMA ORIGEN]],PROGRAMAS_N[PROGRAMAS ORIGEN],PROGRAMAS_N[NIVEL],"")</f>
        <v>TECNÓLOGO</v>
      </c>
      <c r="D659" s="16" t="s">
        <v>193</v>
      </c>
      <c r="E659" s="14">
        <v>260201032</v>
      </c>
      <c r="F659" s="10" t="s">
        <v>901</v>
      </c>
      <c r="G659" s="10" cm="1">
        <f t="array" ref="G659">+_xlfn.XLOOKUP(Tabla9[[#This Row],[ESPACIO ACADÉMICO DESTINO]]&amp;Tabla9[[#This Row],[PROGRAMA DESTINO]],Tabla49[ESPACIO ACADÉMICO DESTINO]&amp;Tabla49[PROGRAMA],Tabla49[CÓDIGO],"")</f>
        <v>30390</v>
      </c>
      <c r="H659" s="10" t="s">
        <v>153</v>
      </c>
      <c r="I659" s="14" cm="1">
        <f t="array" ref="I659">+_xlfn.XLOOKUP(Tabla9[[#This Row],[ESPACIO ACADÉMICO DESTINO]]&amp;Tabla9[[#This Row],[PROGRAMA DESTINO]],Tabla49[ESPACIO ACADÉMICO DESTINO]&amp;Tabla49[PROGRAMA],Tabla49[CRÉDITOS],"")</f>
        <v>3</v>
      </c>
      <c r="J659" s="14">
        <v>4.5</v>
      </c>
      <c r="K659" s="10" t="s">
        <v>65</v>
      </c>
    </row>
    <row r="660" spans="3:11" ht="30" x14ac:dyDescent="0.25">
      <c r="C660" s="10" t="str">
        <f>_xlfn.XLOOKUP(Tabla9[[#This Row],[PROGRAMA ORIGEN]],PROGRAMAS_N[PROGRAMAS ORIGEN],PROGRAMAS_N[NIVEL],"")</f>
        <v>TECNÓLOGO</v>
      </c>
      <c r="D660" s="16" t="s">
        <v>199</v>
      </c>
      <c r="E660" s="14">
        <v>38400</v>
      </c>
      <c r="F660" s="10" t="s">
        <v>144</v>
      </c>
      <c r="G660" s="10" cm="1">
        <f t="array" ref="G660">+_xlfn.XLOOKUP(Tabla9[[#This Row],[ESPACIO ACADÉMICO DESTINO]]&amp;Tabla9[[#This Row],[PROGRAMA DESTINO]],Tabla49[ESPACIO ACADÉMICO DESTINO]&amp;Tabla49[PROGRAMA],Tabla49[CÓDIGO],"")</f>
        <v>30391</v>
      </c>
      <c r="H660" s="10" t="s">
        <v>565</v>
      </c>
      <c r="I660" s="14" cm="1">
        <f t="array" ref="I660">+_xlfn.XLOOKUP(Tabla9[[#This Row],[ESPACIO ACADÉMICO DESTINO]]&amp;Tabla9[[#This Row],[PROGRAMA DESTINO]],Tabla49[ESPACIO ACADÉMICO DESTINO]&amp;Tabla49[PROGRAMA],Tabla49[CRÉDITOS],"")</f>
        <v>2</v>
      </c>
      <c r="J660" s="14">
        <v>4.5</v>
      </c>
      <c r="K660" s="10" t="s">
        <v>65</v>
      </c>
    </row>
    <row r="661" spans="3:11" ht="30" x14ac:dyDescent="0.25">
      <c r="C661" s="1" t="str">
        <f>_xlfn.XLOOKUP(Tabla9[[#This Row],[PROGRAMA ORIGEN]],PROGRAMAS_N[PROGRAMAS ORIGEN],PROGRAMAS_N[NIVEL],"")</f>
        <v>TECNÓLOGO</v>
      </c>
      <c r="D661" s="16" t="s">
        <v>199</v>
      </c>
      <c r="E661" s="14">
        <v>210101001</v>
      </c>
      <c r="F661" s="10" t="s">
        <v>523</v>
      </c>
      <c r="G661" s="10" cm="1">
        <f t="array" ref="G661">+_xlfn.XLOOKUP(Tabla9[[#This Row],[ESPACIO ACADÉMICO DESTINO]]&amp;Tabla9[[#This Row],[PROGRAMA DESTINO]],Tabla49[ESPACIO ACADÉMICO DESTINO]&amp;Tabla49[PROGRAMA],Tabla49[CÓDIGO],"")</f>
        <v>30380</v>
      </c>
      <c r="H661" s="10" t="s">
        <v>550</v>
      </c>
      <c r="I661" s="14" cm="1">
        <f t="array" ref="I661">+_xlfn.XLOOKUP(Tabla9[[#This Row],[ESPACIO ACADÉMICO DESTINO]]&amp;Tabla9[[#This Row],[PROGRAMA DESTINO]],Tabla49[ESPACIO ACADÉMICO DESTINO]&amp;Tabla49[PROGRAMA],Tabla49[CRÉDITOS],"")</f>
        <v>3</v>
      </c>
      <c r="J661" s="14">
        <v>4.5</v>
      </c>
      <c r="K661" s="10" t="s">
        <v>65</v>
      </c>
    </row>
    <row r="662" spans="3:11" ht="30" x14ac:dyDescent="0.25">
      <c r="C662" s="1" t="str">
        <f>_xlfn.XLOOKUP(Tabla9[[#This Row],[PROGRAMA ORIGEN]],PROGRAMAS_N[PROGRAMAS ORIGEN],PROGRAMAS_N[NIVEL],"")</f>
        <v>TECNÓLOGO</v>
      </c>
      <c r="D662" s="16" t="s">
        <v>199</v>
      </c>
      <c r="E662" s="14">
        <v>260101011</v>
      </c>
      <c r="F662" s="10" t="s">
        <v>833</v>
      </c>
      <c r="G662" s="10" t="str" cm="1">
        <f t="array" ref="G662">+_xlfn.XLOOKUP(Tabla9[[#This Row],[ESPACIO ACADÉMICO DESTINO]]&amp;Tabla9[[#This Row],[PROGRAMA DESTINO]],Tabla49[ESPACIO ACADÉMICO DESTINO]&amp;Tabla49[PROGRAMA],Tabla49[CÓDIGO],"")</f>
        <v/>
      </c>
      <c r="H662" s="10"/>
      <c r="I662" s="14" t="str" cm="1">
        <f t="array" ref="I662">+_xlfn.XLOOKUP(Tabla9[[#This Row],[ESPACIO ACADÉMICO DESTINO]]&amp;Tabla9[[#This Row],[PROGRAMA DESTINO]],Tabla49[ESPACIO ACADÉMICO DESTINO]&amp;Tabla49[PROGRAMA],Tabla49[CRÉDITOS],"")</f>
        <v/>
      </c>
      <c r="J662" s="14"/>
      <c r="K662" s="10" t="s">
        <v>65</v>
      </c>
    </row>
    <row r="663" spans="3:11" ht="30" x14ac:dyDescent="0.25">
      <c r="C663" s="1" t="str">
        <f>_xlfn.XLOOKUP(Tabla9[[#This Row],[PROGRAMA ORIGEN]],PROGRAMAS_N[PROGRAMAS ORIGEN],PROGRAMAS_N[NIVEL],"")</f>
        <v>TECNÓLOGO</v>
      </c>
      <c r="D663" s="16" t="s">
        <v>199</v>
      </c>
      <c r="E663" s="14">
        <v>210101005</v>
      </c>
      <c r="F663" s="10" t="s">
        <v>510</v>
      </c>
      <c r="G663" s="10" cm="1">
        <f t="array" ref="G663">+_xlfn.XLOOKUP(Tabla9[[#This Row],[ESPACIO ACADÉMICO DESTINO]]&amp;Tabla9[[#This Row],[PROGRAMA DESTINO]],Tabla49[ESPACIO ACADÉMICO DESTINO]&amp;Tabla49[PROGRAMA],Tabla49[CÓDIGO],"")</f>
        <v>30515</v>
      </c>
      <c r="H663" s="10" t="s">
        <v>588</v>
      </c>
      <c r="I663" s="14" cm="1">
        <f t="array" ref="I663">+_xlfn.XLOOKUP(Tabla9[[#This Row],[ESPACIO ACADÉMICO DESTINO]]&amp;Tabla9[[#This Row],[PROGRAMA DESTINO]],Tabla49[ESPACIO ACADÉMICO DESTINO]&amp;Tabla49[PROGRAMA],Tabla49[CRÉDITOS],"")</f>
        <v>3</v>
      </c>
      <c r="J663" s="14">
        <v>4.5</v>
      </c>
      <c r="K663" s="10" t="s">
        <v>65</v>
      </c>
    </row>
    <row r="664" spans="3:11" ht="30" x14ac:dyDescent="0.25">
      <c r="C664" s="1" t="str">
        <f>_xlfn.XLOOKUP(Tabla9[[#This Row],[PROGRAMA ORIGEN]],PROGRAMAS_N[PROGRAMAS ORIGEN],PROGRAMAS_N[NIVEL],"")</f>
        <v>TECNÓLOGO</v>
      </c>
      <c r="D664" s="16" t="s">
        <v>199</v>
      </c>
      <c r="E664" s="14">
        <v>210101008</v>
      </c>
      <c r="F664" s="10" t="s">
        <v>902</v>
      </c>
      <c r="G664" s="10" cm="1">
        <f t="array" ref="G664">+_xlfn.XLOOKUP(Tabla9[[#This Row],[ESPACIO ACADÉMICO DESTINO]]&amp;Tabla9[[#This Row],[PROGRAMA DESTINO]],Tabla49[ESPACIO ACADÉMICO DESTINO]&amp;Tabla49[PROGRAMA],Tabla49[CÓDIGO],"")</f>
        <v>30390</v>
      </c>
      <c r="H664" s="10" t="s">
        <v>153</v>
      </c>
      <c r="I664" s="14" cm="1">
        <f t="array" ref="I664">+_xlfn.XLOOKUP(Tabla9[[#This Row],[ESPACIO ACADÉMICO DESTINO]]&amp;Tabla9[[#This Row],[PROGRAMA DESTINO]],Tabla49[ESPACIO ACADÉMICO DESTINO]&amp;Tabla49[PROGRAMA],Tabla49[CRÉDITOS],"")</f>
        <v>3</v>
      </c>
      <c r="J664" s="14">
        <v>4.5</v>
      </c>
      <c r="K664" s="10" t="s">
        <v>65</v>
      </c>
    </row>
    <row r="665" spans="3:11" ht="30" x14ac:dyDescent="0.25">
      <c r="C665" s="1" t="str">
        <f>_xlfn.XLOOKUP(Tabla9[[#This Row],[PROGRAMA ORIGEN]],PROGRAMAS_N[PROGRAMAS ORIGEN],PROGRAMAS_N[NIVEL],"")</f>
        <v>TECNÓLOGO</v>
      </c>
      <c r="D665" s="16" t="s">
        <v>199</v>
      </c>
      <c r="E665" s="14">
        <v>210101016</v>
      </c>
      <c r="F665" s="10" t="s">
        <v>903</v>
      </c>
      <c r="G665" s="10" cm="1">
        <f t="array" ref="G665">+_xlfn.XLOOKUP(Tabla9[[#This Row],[ESPACIO ACADÉMICO DESTINO]]&amp;Tabla9[[#This Row],[PROGRAMA DESTINO]],Tabla49[ESPACIO ACADÉMICO DESTINO]&amp;Tabla49[PROGRAMA],Tabla49[CÓDIGO],"")</f>
        <v>30508</v>
      </c>
      <c r="H665" s="10" t="s">
        <v>581</v>
      </c>
      <c r="I665" s="14" cm="1">
        <f t="array" ref="I665">+_xlfn.XLOOKUP(Tabla9[[#This Row],[ESPACIO ACADÉMICO DESTINO]]&amp;Tabla9[[#This Row],[PROGRAMA DESTINO]],Tabla49[ESPACIO ACADÉMICO DESTINO]&amp;Tabla49[PROGRAMA],Tabla49[CRÉDITOS],"")</f>
        <v>3</v>
      </c>
      <c r="J665" s="14">
        <v>4.5</v>
      </c>
      <c r="K665" s="10" t="s">
        <v>65</v>
      </c>
    </row>
    <row r="666" spans="3:11" ht="30" x14ac:dyDescent="0.25">
      <c r="C666" s="1" t="str">
        <f>_xlfn.XLOOKUP(Tabla9[[#This Row],[PROGRAMA ORIGEN]],PROGRAMAS_N[PROGRAMAS ORIGEN],PROGRAMAS_N[NIVEL],"")</f>
        <v>TECNÓLOGO</v>
      </c>
      <c r="D666" s="16" t="s">
        <v>199</v>
      </c>
      <c r="E666" s="14">
        <v>210101021</v>
      </c>
      <c r="F666" s="10" t="s">
        <v>530</v>
      </c>
      <c r="G666" s="10" t="str" cm="1">
        <f t="array" ref="G666">+_xlfn.XLOOKUP(Tabla9[[#This Row],[ESPACIO ACADÉMICO DESTINO]]&amp;Tabla9[[#This Row],[PROGRAMA DESTINO]],Tabla49[ESPACIO ACADÉMICO DESTINO]&amp;Tabla49[PROGRAMA],Tabla49[CÓDIGO],"")</f>
        <v/>
      </c>
      <c r="H666" s="10"/>
      <c r="I666" s="14" t="str" cm="1">
        <f t="array" ref="I666">+_xlfn.XLOOKUP(Tabla9[[#This Row],[ESPACIO ACADÉMICO DESTINO]]&amp;Tabla9[[#This Row],[PROGRAMA DESTINO]],Tabla49[ESPACIO ACADÉMICO DESTINO]&amp;Tabla49[PROGRAMA],Tabla49[CRÉDITOS],"")</f>
        <v/>
      </c>
      <c r="J666" s="14"/>
      <c r="K666" s="10" t="s">
        <v>65</v>
      </c>
    </row>
    <row r="667" spans="3:11" ht="30" x14ac:dyDescent="0.25">
      <c r="C667" s="1" t="str">
        <f>_xlfn.XLOOKUP(Tabla9[[#This Row],[PROGRAMA ORIGEN]],PROGRAMAS_N[PROGRAMAS ORIGEN],PROGRAMAS_N[NIVEL],"")</f>
        <v>TECNÓLOGO</v>
      </c>
      <c r="D667" s="16" t="s">
        <v>199</v>
      </c>
      <c r="E667" s="14">
        <v>210101033</v>
      </c>
      <c r="F667" s="10" t="s">
        <v>904</v>
      </c>
      <c r="G667" s="10" cm="1">
        <f t="array" ref="G667">+_xlfn.XLOOKUP(Tabla9[[#This Row],[ESPACIO ACADÉMICO DESTINO]]&amp;Tabla9[[#This Row],[PROGRAMA DESTINO]],Tabla49[ESPACIO ACADÉMICO DESTINO]&amp;Tabla49[PROGRAMA],Tabla49[CÓDIGO],"")</f>
        <v>30396</v>
      </c>
      <c r="H667" s="10" t="s">
        <v>408</v>
      </c>
      <c r="I667" s="14" cm="1">
        <f t="array" ref="I667">+_xlfn.XLOOKUP(Tabla9[[#This Row],[ESPACIO ACADÉMICO DESTINO]]&amp;Tabla9[[#This Row],[PROGRAMA DESTINO]],Tabla49[ESPACIO ACADÉMICO DESTINO]&amp;Tabla49[PROGRAMA],Tabla49[CRÉDITOS],"")</f>
        <v>3</v>
      </c>
      <c r="J667" s="14">
        <v>4.5</v>
      </c>
      <c r="K667" s="10" t="s">
        <v>65</v>
      </c>
    </row>
    <row r="668" spans="3:11" ht="30" x14ac:dyDescent="0.25">
      <c r="C668" s="1" t="str">
        <f>_xlfn.XLOOKUP(Tabla9[[#This Row],[PROGRAMA ORIGEN]],PROGRAMAS_N[PROGRAMAS ORIGEN],PROGRAMAS_N[NIVEL],"")</f>
        <v>TECNÓLOGO</v>
      </c>
      <c r="D668" s="16" t="s">
        <v>199</v>
      </c>
      <c r="E668" s="14">
        <v>260101001</v>
      </c>
      <c r="F668" s="10" t="s">
        <v>830</v>
      </c>
      <c r="G668" s="10" t="str" cm="1">
        <f t="array" ref="G668">+_xlfn.XLOOKUP(Tabla9[[#This Row],[ESPACIO ACADÉMICO DESTINO]]&amp;Tabla9[[#This Row],[PROGRAMA DESTINO]],Tabla49[ESPACIO ACADÉMICO DESTINO]&amp;Tabla49[PROGRAMA],Tabla49[CÓDIGO],"")</f>
        <v/>
      </c>
      <c r="H668" s="10"/>
      <c r="I668" s="14" t="str" cm="1">
        <f t="array" ref="I668">+_xlfn.XLOOKUP(Tabla9[[#This Row],[ESPACIO ACADÉMICO DESTINO]]&amp;Tabla9[[#This Row],[PROGRAMA DESTINO]],Tabla49[ESPACIO ACADÉMICO DESTINO]&amp;Tabla49[PROGRAMA],Tabla49[CRÉDITOS],"")</f>
        <v/>
      </c>
      <c r="J668" s="14"/>
      <c r="K668" s="10" t="s">
        <v>65</v>
      </c>
    </row>
    <row r="669" spans="3:11" ht="30" x14ac:dyDescent="0.25">
      <c r="C669" s="1" t="str">
        <f>_xlfn.XLOOKUP(Tabla9[[#This Row],[PROGRAMA ORIGEN]],PROGRAMAS_N[PROGRAMAS ORIGEN],PROGRAMAS_N[NIVEL],"")</f>
        <v>TECNÓLOGO</v>
      </c>
      <c r="D669" s="16" t="s">
        <v>199</v>
      </c>
      <c r="E669" s="14">
        <v>260101004</v>
      </c>
      <c r="F669" s="10" t="s">
        <v>570</v>
      </c>
      <c r="G669" s="10" t="str" cm="1">
        <f t="array" ref="G669">+_xlfn.XLOOKUP(Tabla9[[#This Row],[ESPACIO ACADÉMICO DESTINO]]&amp;Tabla9[[#This Row],[PROGRAMA DESTINO]],Tabla49[ESPACIO ACADÉMICO DESTINO]&amp;Tabla49[PROGRAMA],Tabla49[CÓDIGO],"")</f>
        <v/>
      </c>
      <c r="H669" s="10"/>
      <c r="I669" s="14" t="str" cm="1">
        <f t="array" ref="I669">+_xlfn.XLOOKUP(Tabla9[[#This Row],[ESPACIO ACADÉMICO DESTINO]]&amp;Tabla9[[#This Row],[PROGRAMA DESTINO]],Tabla49[ESPACIO ACADÉMICO DESTINO]&amp;Tabla49[PROGRAMA],Tabla49[CRÉDITOS],"")</f>
        <v/>
      </c>
      <c r="J669" s="14"/>
      <c r="K669" s="10" t="s">
        <v>65</v>
      </c>
    </row>
    <row r="670" spans="3:11" ht="30" x14ac:dyDescent="0.25">
      <c r="C670" s="1" t="str">
        <f>_xlfn.XLOOKUP(Tabla9[[#This Row],[PROGRAMA ORIGEN]],PROGRAMAS_N[PROGRAMAS ORIGEN],PROGRAMAS_N[NIVEL],"")</f>
        <v>TECNÓLOGO</v>
      </c>
      <c r="D670" s="16" t="s">
        <v>199</v>
      </c>
      <c r="E670" s="14">
        <v>260101016</v>
      </c>
      <c r="F670" s="10" t="s">
        <v>835</v>
      </c>
      <c r="G670" s="10" t="str" cm="1">
        <f t="array" ref="G670">+_xlfn.XLOOKUP(Tabla9[[#This Row],[ESPACIO ACADÉMICO DESTINO]]&amp;Tabla9[[#This Row],[PROGRAMA DESTINO]],Tabla49[ESPACIO ACADÉMICO DESTINO]&amp;Tabla49[PROGRAMA],Tabla49[CÓDIGO],"")</f>
        <v/>
      </c>
      <c r="H670" s="10"/>
      <c r="I670" s="14" t="str" cm="1">
        <f t="array" ref="I670">+_xlfn.XLOOKUP(Tabla9[[#This Row],[ESPACIO ACADÉMICO DESTINO]]&amp;Tabla9[[#This Row],[PROGRAMA DESTINO]],Tabla49[ESPACIO ACADÉMICO DESTINO]&amp;Tabla49[PROGRAMA],Tabla49[CRÉDITOS],"")</f>
        <v/>
      </c>
      <c r="J670" s="14"/>
      <c r="K670" s="10" t="s">
        <v>65</v>
      </c>
    </row>
    <row r="671" spans="3:11" ht="30" x14ac:dyDescent="0.25">
      <c r="C671" s="1" t="str">
        <f>_xlfn.XLOOKUP(Tabla9[[#This Row],[PROGRAMA ORIGEN]],PROGRAMAS_N[PROGRAMAS ORIGEN],PROGRAMAS_N[NIVEL],"")</f>
        <v>TECNÓLOGO</v>
      </c>
      <c r="D671" s="16" t="s">
        <v>199</v>
      </c>
      <c r="E671" s="14">
        <v>260101021</v>
      </c>
      <c r="F671" s="10" t="s">
        <v>564</v>
      </c>
      <c r="G671" s="10" t="str" cm="1">
        <f t="array" ref="G671">+_xlfn.XLOOKUP(Tabla9[[#This Row],[ESPACIO ACADÉMICO DESTINO]]&amp;Tabla9[[#This Row],[PROGRAMA DESTINO]],Tabla49[ESPACIO ACADÉMICO DESTINO]&amp;Tabla49[PROGRAMA],Tabla49[CÓDIGO],"")</f>
        <v/>
      </c>
      <c r="H671" s="10"/>
      <c r="I671" s="14" t="str" cm="1">
        <f t="array" ref="I671">+_xlfn.XLOOKUP(Tabla9[[#This Row],[ESPACIO ACADÉMICO DESTINO]]&amp;Tabla9[[#This Row],[PROGRAMA DESTINO]],Tabla49[ESPACIO ACADÉMICO DESTINO]&amp;Tabla49[PROGRAMA],Tabla49[CRÉDITOS],"")</f>
        <v/>
      </c>
      <c r="J671" s="14"/>
      <c r="K671" s="10" t="s">
        <v>65</v>
      </c>
    </row>
    <row r="672" spans="3:11" ht="30" x14ac:dyDescent="0.25">
      <c r="C672" s="1" t="str">
        <f>_xlfn.XLOOKUP(Tabla9[[#This Row],[PROGRAMA ORIGEN]],PROGRAMAS_N[PROGRAMAS ORIGEN],PROGRAMAS_N[NIVEL],"")</f>
        <v>TECNÓLOGO</v>
      </c>
      <c r="D672" s="16" t="s">
        <v>199</v>
      </c>
      <c r="E672" s="14">
        <v>210301029</v>
      </c>
      <c r="F672" s="10" t="s">
        <v>873</v>
      </c>
      <c r="G672" s="10" cm="1">
        <f t="array" ref="G672">+_xlfn.XLOOKUP(Tabla9[[#This Row],[ESPACIO ACADÉMICO DESTINO]]&amp;Tabla9[[#This Row],[PROGRAMA DESTINO]],Tabla49[ESPACIO ACADÉMICO DESTINO]&amp;Tabla49[PROGRAMA],Tabla49[CÓDIGO],"")</f>
        <v>30381</v>
      </c>
      <c r="H672" s="10" t="s">
        <v>552</v>
      </c>
      <c r="I672" s="14" cm="1">
        <f t="array" ref="I672">+_xlfn.XLOOKUP(Tabla9[[#This Row],[ESPACIO ACADÉMICO DESTINO]]&amp;Tabla9[[#This Row],[PROGRAMA DESTINO]],Tabla49[ESPACIO ACADÉMICO DESTINO]&amp;Tabla49[PROGRAMA],Tabla49[CRÉDITOS],"")</f>
        <v>3</v>
      </c>
      <c r="J672" s="14">
        <v>4.5</v>
      </c>
      <c r="K672" s="10" t="s">
        <v>65</v>
      </c>
    </row>
    <row r="673" spans="3:11" ht="30" x14ac:dyDescent="0.25">
      <c r="C673" s="1" t="str">
        <f>_xlfn.XLOOKUP(Tabla9[[#This Row],[PROGRAMA ORIGEN]],PROGRAMAS_N[PROGRAMAS ORIGEN],PROGRAMAS_N[NIVEL],"")</f>
        <v>TECNÓLOGO</v>
      </c>
      <c r="D673" s="16" t="s">
        <v>199</v>
      </c>
      <c r="E673" s="14">
        <v>260101027</v>
      </c>
      <c r="F673" s="10" t="s">
        <v>519</v>
      </c>
      <c r="G673" s="10" t="str" cm="1">
        <f t="array" ref="G673">+_xlfn.XLOOKUP(Tabla9[[#This Row],[ESPACIO ACADÉMICO DESTINO]]&amp;Tabla9[[#This Row],[PROGRAMA DESTINO]],Tabla49[ESPACIO ACADÉMICO DESTINO]&amp;Tabla49[PROGRAMA],Tabla49[CÓDIGO],"")</f>
        <v/>
      </c>
      <c r="H673" s="10"/>
      <c r="I673" s="14" t="str" cm="1">
        <f t="array" ref="I673">+_xlfn.XLOOKUP(Tabla9[[#This Row],[ESPACIO ACADÉMICO DESTINO]]&amp;Tabla9[[#This Row],[PROGRAMA DESTINO]],Tabla49[ESPACIO ACADÉMICO DESTINO]&amp;Tabla49[PROGRAMA],Tabla49[CRÉDITOS],"")</f>
        <v/>
      </c>
      <c r="J673" s="14"/>
      <c r="K673" s="10" t="s">
        <v>65</v>
      </c>
    </row>
    <row r="674" spans="3:11" ht="30" x14ac:dyDescent="0.25">
      <c r="C674" s="10" t="str">
        <f>_xlfn.XLOOKUP(Tabla9[[#This Row],[PROGRAMA ORIGEN]],PROGRAMAS_N[PROGRAMAS ORIGEN],PROGRAMAS_N[NIVEL],"")</f>
        <v>TECNÓLOGO</v>
      </c>
      <c r="D674" s="16" t="s">
        <v>162</v>
      </c>
      <c r="E674" s="14">
        <v>240201500</v>
      </c>
      <c r="F674" s="10" t="s">
        <v>144</v>
      </c>
      <c r="G674" s="10" cm="1">
        <f t="array" ref="G674">+_xlfn.XLOOKUP(Tabla9[[#This Row],[ESPACIO ACADÉMICO DESTINO]]&amp;Tabla9[[#This Row],[PROGRAMA DESTINO]],Tabla49[ESPACIO ACADÉMICO DESTINO]&amp;Tabla49[PROGRAMA],Tabla49[CÓDIGO],"")</f>
        <v>30391</v>
      </c>
      <c r="H674" s="10" t="s">
        <v>565</v>
      </c>
      <c r="I674" s="14" cm="1">
        <f t="array" ref="I674">+_xlfn.XLOOKUP(Tabla9[[#This Row],[ESPACIO ACADÉMICO DESTINO]]&amp;Tabla9[[#This Row],[PROGRAMA DESTINO]],Tabla49[ESPACIO ACADÉMICO DESTINO]&amp;Tabla49[PROGRAMA],Tabla49[CRÉDITOS],"")</f>
        <v>2</v>
      </c>
      <c r="J674" s="14">
        <v>4.5</v>
      </c>
      <c r="K674" s="10" t="s">
        <v>65</v>
      </c>
    </row>
    <row r="675" spans="3:11" ht="30" x14ac:dyDescent="0.25">
      <c r="C675" s="10" t="str">
        <f>_xlfn.XLOOKUP(Tabla9[[#This Row],[PROGRAMA ORIGEN]],PROGRAMAS_N[PROGRAMAS ORIGEN],PROGRAMAS_N[NIVEL],"")</f>
        <v>TECNÓLOGO</v>
      </c>
      <c r="D675" s="16" t="s">
        <v>162</v>
      </c>
      <c r="E675" s="14">
        <v>210301019</v>
      </c>
      <c r="F675" s="10" t="s">
        <v>822</v>
      </c>
      <c r="G675" s="10" cm="1">
        <f t="array" ref="G675">+_xlfn.XLOOKUP(Tabla9[[#This Row],[ESPACIO ACADÉMICO DESTINO]]&amp;Tabla9[[#This Row],[PROGRAMA DESTINO]],Tabla49[ESPACIO ACADÉMICO DESTINO]&amp;Tabla49[PROGRAMA],Tabla49[CÓDIGO],"")</f>
        <v>30381</v>
      </c>
      <c r="H675" s="10" t="s">
        <v>552</v>
      </c>
      <c r="I675" s="14" cm="1">
        <f t="array" ref="I675">+_xlfn.XLOOKUP(Tabla9[[#This Row],[ESPACIO ACADÉMICO DESTINO]]&amp;Tabla9[[#This Row],[PROGRAMA DESTINO]],Tabla49[ESPACIO ACADÉMICO DESTINO]&amp;Tabla49[PROGRAMA],Tabla49[CRÉDITOS],"")</f>
        <v>3</v>
      </c>
      <c r="J675" s="14">
        <v>4.5</v>
      </c>
      <c r="K675" s="10" t="s">
        <v>65</v>
      </c>
    </row>
    <row r="676" spans="3:11" ht="30" x14ac:dyDescent="0.25">
      <c r="C676" s="1" t="str">
        <f>_xlfn.XLOOKUP(Tabla9[[#This Row],[PROGRAMA ORIGEN]],PROGRAMAS_N[PROGRAMAS ORIGEN],PROGRAMAS_N[NIVEL],"")</f>
        <v>TECNÓLOGO</v>
      </c>
      <c r="D676" s="16" t="s">
        <v>162</v>
      </c>
      <c r="E676" s="14">
        <v>260101016</v>
      </c>
      <c r="F676" s="10" t="s">
        <v>835</v>
      </c>
      <c r="G676" s="10" cm="1">
        <f t="array" ref="G676">+_xlfn.XLOOKUP(Tabla9[[#This Row],[ESPACIO ACADÉMICO DESTINO]]&amp;Tabla9[[#This Row],[PROGRAMA DESTINO]],Tabla49[ESPACIO ACADÉMICO DESTINO]&amp;Tabla49[PROGRAMA],Tabla49[CÓDIGO],"")</f>
        <v>30396</v>
      </c>
      <c r="H676" s="10" t="s">
        <v>408</v>
      </c>
      <c r="I676" s="14" cm="1">
        <f t="array" ref="I676">+_xlfn.XLOOKUP(Tabla9[[#This Row],[ESPACIO ACADÉMICO DESTINO]]&amp;Tabla9[[#This Row],[PROGRAMA DESTINO]],Tabla49[ESPACIO ACADÉMICO DESTINO]&amp;Tabla49[PROGRAMA],Tabla49[CRÉDITOS],"")</f>
        <v>3</v>
      </c>
      <c r="J676" s="14">
        <v>4.5</v>
      </c>
      <c r="K676" s="10" t="s">
        <v>65</v>
      </c>
    </row>
    <row r="677" spans="3:11" ht="30" x14ac:dyDescent="0.25">
      <c r="C677" s="1" t="str">
        <f>_xlfn.XLOOKUP(Tabla9[[#This Row],[PROGRAMA ORIGEN]],PROGRAMAS_N[PROGRAMAS ORIGEN],PROGRAMAS_N[NIVEL],"")</f>
        <v>TECNÓLOGO</v>
      </c>
      <c r="D677" s="16" t="s">
        <v>162</v>
      </c>
      <c r="E677" s="14">
        <v>270401016</v>
      </c>
      <c r="F677" s="10" t="s">
        <v>740</v>
      </c>
      <c r="G677" s="10" cm="1">
        <f t="array" ref="G677">+_xlfn.XLOOKUP(Tabla9[[#This Row],[ESPACIO ACADÉMICO DESTINO]]&amp;Tabla9[[#This Row],[PROGRAMA DESTINO]],Tabla49[ESPACIO ACADÉMICO DESTINO]&amp;Tabla49[PROGRAMA],Tabla49[CÓDIGO],"")</f>
        <v>30515</v>
      </c>
      <c r="H677" s="10" t="s">
        <v>588</v>
      </c>
      <c r="I677" s="14" cm="1">
        <f t="array" ref="I677">+_xlfn.XLOOKUP(Tabla9[[#This Row],[ESPACIO ACADÉMICO DESTINO]]&amp;Tabla9[[#This Row],[PROGRAMA DESTINO]],Tabla49[ESPACIO ACADÉMICO DESTINO]&amp;Tabla49[PROGRAMA],Tabla49[CRÉDITOS],"")</f>
        <v>3</v>
      </c>
      <c r="J677" s="14">
        <v>4.5</v>
      </c>
      <c r="K677" s="10" t="s">
        <v>65</v>
      </c>
    </row>
    <row r="678" spans="3:11" ht="30" x14ac:dyDescent="0.25">
      <c r="C678" s="1" t="str">
        <f>_xlfn.XLOOKUP(Tabla9[[#This Row],[PROGRAMA ORIGEN]],PROGRAMAS_N[PROGRAMAS ORIGEN],PROGRAMAS_N[NIVEL],"")</f>
        <v>TECNÓLOGO</v>
      </c>
      <c r="D678" s="16" t="s">
        <v>162</v>
      </c>
      <c r="E678" s="14">
        <v>291101053</v>
      </c>
      <c r="F678" s="10" t="s">
        <v>905</v>
      </c>
      <c r="G678" s="10" cm="1">
        <f t="array" ref="G678">+_xlfn.XLOOKUP(Tabla9[[#This Row],[ESPACIO ACADÉMICO DESTINO]]&amp;Tabla9[[#This Row],[PROGRAMA DESTINO]],Tabla49[ESPACIO ACADÉMICO DESTINO]&amp;Tabla49[PROGRAMA],Tabla49[CÓDIGO],"")</f>
        <v>30511</v>
      </c>
      <c r="H678" s="10" t="s">
        <v>585</v>
      </c>
      <c r="I678" s="14" cm="1">
        <f t="array" ref="I678">+_xlfn.XLOOKUP(Tabla9[[#This Row],[ESPACIO ACADÉMICO DESTINO]]&amp;Tabla9[[#This Row],[PROGRAMA DESTINO]],Tabla49[ESPACIO ACADÉMICO DESTINO]&amp;Tabla49[PROGRAMA],Tabla49[CRÉDITOS],"")</f>
        <v>3</v>
      </c>
      <c r="J678" s="14">
        <v>4.5</v>
      </c>
      <c r="K678" s="10" t="s">
        <v>65</v>
      </c>
    </row>
    <row r="679" spans="3:11" ht="30" x14ac:dyDescent="0.25">
      <c r="C679" s="10" t="str">
        <f>_xlfn.XLOOKUP(Tabla9[[#This Row],[PROGRAMA ORIGEN]],PROGRAMAS_N[PROGRAMAS ORIGEN],PROGRAMAS_N[NIVEL],"")</f>
        <v>TECNÓLOGO</v>
      </c>
      <c r="D679" s="16" t="s">
        <v>194</v>
      </c>
      <c r="E679" s="14">
        <v>240201500</v>
      </c>
      <c r="F679" s="10" t="s">
        <v>144</v>
      </c>
      <c r="G679" s="10" cm="1">
        <f t="array" ref="G679">+_xlfn.XLOOKUP(Tabla9[[#This Row],[ESPACIO ACADÉMICO DESTINO]]&amp;Tabla9[[#This Row],[PROGRAMA DESTINO]],Tabla49[ESPACIO ACADÉMICO DESTINO]&amp;Tabla49[PROGRAMA],Tabla49[CÓDIGO],"")</f>
        <v>30391</v>
      </c>
      <c r="H679" s="10" t="s">
        <v>565</v>
      </c>
      <c r="I679" s="14" cm="1">
        <f t="array" ref="I679">+_xlfn.XLOOKUP(Tabla9[[#This Row],[ESPACIO ACADÉMICO DESTINO]]&amp;Tabla9[[#This Row],[PROGRAMA DESTINO]],Tabla49[ESPACIO ACADÉMICO DESTINO]&amp;Tabla49[PROGRAMA],Tabla49[CRÉDITOS],"")</f>
        <v>2</v>
      </c>
      <c r="J679" s="14">
        <v>4.5</v>
      </c>
      <c r="K679" s="10" t="s">
        <v>65</v>
      </c>
    </row>
    <row r="680" spans="3:11" ht="30" x14ac:dyDescent="0.25">
      <c r="C680" s="1" t="str">
        <f>_xlfn.XLOOKUP(Tabla9[[#This Row],[PROGRAMA ORIGEN]],PROGRAMAS_N[PROGRAMAS ORIGEN],PROGRAMAS_N[NIVEL],"")</f>
        <v>TECNÓLOGO</v>
      </c>
      <c r="D680" s="16" t="s">
        <v>194</v>
      </c>
      <c r="E680" s="14">
        <v>210101001</v>
      </c>
      <c r="F680" s="10" t="s">
        <v>523</v>
      </c>
      <c r="G680" s="10" cm="1">
        <f t="array" ref="G680">+_xlfn.XLOOKUP(Tabla9[[#This Row],[ESPACIO ACADÉMICO DESTINO]]&amp;Tabla9[[#This Row],[PROGRAMA DESTINO]],Tabla49[ESPACIO ACADÉMICO DESTINO]&amp;Tabla49[PROGRAMA],Tabla49[CÓDIGO],"")</f>
        <v>30380</v>
      </c>
      <c r="H680" s="10" t="s">
        <v>550</v>
      </c>
      <c r="I680" s="14" cm="1">
        <f t="array" ref="I680">+_xlfn.XLOOKUP(Tabla9[[#This Row],[ESPACIO ACADÉMICO DESTINO]]&amp;Tabla9[[#This Row],[PROGRAMA DESTINO]],Tabla49[ESPACIO ACADÉMICO DESTINO]&amp;Tabla49[PROGRAMA],Tabla49[CRÉDITOS],"")</f>
        <v>3</v>
      </c>
      <c r="J680" s="14">
        <v>4.5</v>
      </c>
      <c r="K680" s="10" t="s">
        <v>65</v>
      </c>
    </row>
    <row r="681" spans="3:11" ht="30" x14ac:dyDescent="0.25">
      <c r="C681" s="1" t="str">
        <f>_xlfn.XLOOKUP(Tabla9[[#This Row],[PROGRAMA ORIGEN]],PROGRAMAS_N[PROGRAMAS ORIGEN],PROGRAMAS_N[NIVEL],"")</f>
        <v>TECNÓLOGO</v>
      </c>
      <c r="D681" s="16" t="s">
        <v>194</v>
      </c>
      <c r="E681" s="14">
        <v>210101004</v>
      </c>
      <c r="F681" s="10" t="s">
        <v>583</v>
      </c>
      <c r="G681" s="10" cm="1">
        <f t="array" ref="G681">+_xlfn.XLOOKUP(Tabla9[[#This Row],[ESPACIO ACADÉMICO DESTINO]]&amp;Tabla9[[#This Row],[PROGRAMA DESTINO]],Tabla49[ESPACIO ACADÉMICO DESTINO]&amp;Tabla49[PROGRAMA],Tabla49[CÓDIGO],"")</f>
        <v>30383</v>
      </c>
      <c r="H681" s="10" t="s">
        <v>555</v>
      </c>
      <c r="I681" s="14" cm="1">
        <f t="array" ref="I681">+_xlfn.XLOOKUP(Tabla9[[#This Row],[ESPACIO ACADÉMICO DESTINO]]&amp;Tabla9[[#This Row],[PROGRAMA DESTINO]],Tabla49[ESPACIO ACADÉMICO DESTINO]&amp;Tabla49[PROGRAMA],Tabla49[CRÉDITOS],"")</f>
        <v>3</v>
      </c>
      <c r="J681" s="14">
        <v>4.5</v>
      </c>
      <c r="K681" s="10" t="s">
        <v>65</v>
      </c>
    </row>
    <row r="682" spans="3:11" ht="30" x14ac:dyDescent="0.25">
      <c r="C682" s="1" t="str">
        <f>_xlfn.XLOOKUP(Tabla9[[#This Row],[PROGRAMA ORIGEN]],PROGRAMAS_N[PROGRAMAS ORIGEN],PROGRAMAS_N[NIVEL],"")</f>
        <v>TECNÓLOGO</v>
      </c>
      <c r="D682" s="16" t="s">
        <v>194</v>
      </c>
      <c r="E682" s="14">
        <v>210101007</v>
      </c>
      <c r="F682" s="10" t="s">
        <v>906</v>
      </c>
      <c r="G682" s="10" t="str" cm="1">
        <f t="array" ref="G682">+_xlfn.XLOOKUP(Tabla9[[#This Row],[ESPACIO ACADÉMICO DESTINO]]&amp;Tabla9[[#This Row],[PROGRAMA DESTINO]],Tabla49[ESPACIO ACADÉMICO DESTINO]&amp;Tabla49[PROGRAMA],Tabla49[CÓDIGO],"")</f>
        <v/>
      </c>
      <c r="H682" s="10"/>
      <c r="I682" s="14" t="str" cm="1">
        <f t="array" ref="I682">+_xlfn.XLOOKUP(Tabla9[[#This Row],[ESPACIO ACADÉMICO DESTINO]]&amp;Tabla9[[#This Row],[PROGRAMA DESTINO]],Tabla49[ESPACIO ACADÉMICO DESTINO]&amp;Tabla49[PROGRAMA],Tabla49[CRÉDITOS],"")</f>
        <v/>
      </c>
      <c r="J682" s="14"/>
      <c r="K682" s="10" t="s">
        <v>65</v>
      </c>
    </row>
    <row r="683" spans="3:11" ht="30" x14ac:dyDescent="0.25">
      <c r="C683" s="1" t="str">
        <f>_xlfn.XLOOKUP(Tabla9[[#This Row],[PROGRAMA ORIGEN]],PROGRAMAS_N[PROGRAMAS ORIGEN],PROGRAMAS_N[NIVEL],"")</f>
        <v>TECNÓLOGO</v>
      </c>
      <c r="D683" s="16" t="s">
        <v>194</v>
      </c>
      <c r="E683" s="14">
        <v>210101013</v>
      </c>
      <c r="F683" s="10" t="s">
        <v>517</v>
      </c>
      <c r="G683" s="10" t="str" cm="1">
        <f t="array" ref="G683">+_xlfn.XLOOKUP(Tabla9[[#This Row],[ESPACIO ACADÉMICO DESTINO]]&amp;Tabla9[[#This Row],[PROGRAMA DESTINO]],Tabla49[ESPACIO ACADÉMICO DESTINO]&amp;Tabla49[PROGRAMA],Tabla49[CÓDIGO],"")</f>
        <v/>
      </c>
      <c r="H683" s="10"/>
      <c r="I683" s="14" t="str" cm="1">
        <f t="array" ref="I683">+_xlfn.XLOOKUP(Tabla9[[#This Row],[ESPACIO ACADÉMICO DESTINO]]&amp;Tabla9[[#This Row],[PROGRAMA DESTINO]],Tabla49[ESPACIO ACADÉMICO DESTINO]&amp;Tabla49[PROGRAMA],Tabla49[CRÉDITOS],"")</f>
        <v/>
      </c>
      <c r="J683" s="14"/>
      <c r="K683" s="10" t="s">
        <v>65</v>
      </c>
    </row>
    <row r="684" spans="3:11" ht="30" x14ac:dyDescent="0.25">
      <c r="C684" s="1" t="str">
        <f>_xlfn.XLOOKUP(Tabla9[[#This Row],[PROGRAMA ORIGEN]],PROGRAMAS_N[PROGRAMAS ORIGEN],PROGRAMAS_N[NIVEL],"")</f>
        <v>TECNÓLOGO</v>
      </c>
      <c r="D684" s="16" t="s">
        <v>194</v>
      </c>
      <c r="E684" s="14">
        <v>210101019</v>
      </c>
      <c r="F684" s="10" t="s">
        <v>907</v>
      </c>
      <c r="G684" s="10" t="str" cm="1">
        <f t="array" ref="G684">+_xlfn.XLOOKUP(Tabla9[[#This Row],[ESPACIO ACADÉMICO DESTINO]]&amp;Tabla9[[#This Row],[PROGRAMA DESTINO]],Tabla49[ESPACIO ACADÉMICO DESTINO]&amp;Tabla49[PROGRAMA],Tabla49[CÓDIGO],"")</f>
        <v/>
      </c>
      <c r="H684" s="10"/>
      <c r="I684" s="14" t="str" cm="1">
        <f t="array" ref="I684">+_xlfn.XLOOKUP(Tabla9[[#This Row],[ESPACIO ACADÉMICO DESTINO]]&amp;Tabla9[[#This Row],[PROGRAMA DESTINO]],Tabla49[ESPACIO ACADÉMICO DESTINO]&amp;Tabla49[PROGRAMA],Tabla49[CRÉDITOS],"")</f>
        <v/>
      </c>
      <c r="J684" s="14"/>
      <c r="K684" s="10" t="s">
        <v>65</v>
      </c>
    </row>
    <row r="685" spans="3:11" ht="30" x14ac:dyDescent="0.25">
      <c r="C685" s="1" t="str">
        <f>_xlfn.XLOOKUP(Tabla9[[#This Row],[PROGRAMA ORIGEN]],PROGRAMAS_N[PROGRAMAS ORIGEN],PROGRAMAS_N[NIVEL],"")</f>
        <v>TECNÓLOGO</v>
      </c>
      <c r="D685" s="16" t="s">
        <v>194</v>
      </c>
      <c r="E685" s="14">
        <v>210101020</v>
      </c>
      <c r="F685" s="10" t="s">
        <v>515</v>
      </c>
      <c r="G685" s="10" t="str" cm="1">
        <f t="array" ref="G685">+_xlfn.XLOOKUP(Tabla9[[#This Row],[ESPACIO ACADÉMICO DESTINO]]&amp;Tabla9[[#This Row],[PROGRAMA DESTINO]],Tabla49[ESPACIO ACADÉMICO DESTINO]&amp;Tabla49[PROGRAMA],Tabla49[CÓDIGO],"")</f>
        <v/>
      </c>
      <c r="H685" s="10"/>
      <c r="I685" s="14" t="str" cm="1">
        <f t="array" ref="I685">+_xlfn.XLOOKUP(Tabla9[[#This Row],[ESPACIO ACADÉMICO DESTINO]]&amp;Tabla9[[#This Row],[PROGRAMA DESTINO]],Tabla49[ESPACIO ACADÉMICO DESTINO]&amp;Tabla49[PROGRAMA],Tabla49[CRÉDITOS],"")</f>
        <v/>
      </c>
      <c r="J685" s="14"/>
      <c r="K685" s="10" t="s">
        <v>65</v>
      </c>
    </row>
    <row r="686" spans="3:11" ht="30" x14ac:dyDescent="0.25">
      <c r="C686" s="1" t="str">
        <f>_xlfn.XLOOKUP(Tabla9[[#This Row],[PROGRAMA ORIGEN]],PROGRAMAS_N[PROGRAMAS ORIGEN],PROGRAMAS_N[NIVEL],"")</f>
        <v>TECNÓLOGO</v>
      </c>
      <c r="D686" s="16" t="s">
        <v>194</v>
      </c>
      <c r="E686" s="14">
        <v>210101027</v>
      </c>
      <c r="F686" s="10" t="s">
        <v>525</v>
      </c>
      <c r="G686" s="10" t="str" cm="1">
        <f t="array" ref="G686">+_xlfn.XLOOKUP(Tabla9[[#This Row],[ESPACIO ACADÉMICO DESTINO]]&amp;Tabla9[[#This Row],[PROGRAMA DESTINO]],Tabla49[ESPACIO ACADÉMICO DESTINO]&amp;Tabla49[PROGRAMA],Tabla49[CÓDIGO],"")</f>
        <v/>
      </c>
      <c r="H686" s="10"/>
      <c r="I686" s="14" t="str" cm="1">
        <f t="array" ref="I686">+_xlfn.XLOOKUP(Tabla9[[#This Row],[ESPACIO ACADÉMICO DESTINO]]&amp;Tabla9[[#This Row],[PROGRAMA DESTINO]],Tabla49[ESPACIO ACADÉMICO DESTINO]&amp;Tabla49[PROGRAMA],Tabla49[CRÉDITOS],"")</f>
        <v/>
      </c>
      <c r="J686" s="14"/>
      <c r="K686" s="10" t="s">
        <v>65</v>
      </c>
    </row>
    <row r="687" spans="3:11" ht="30" x14ac:dyDescent="0.25">
      <c r="C687" s="1" t="str">
        <f>_xlfn.XLOOKUP(Tabla9[[#This Row],[PROGRAMA ORIGEN]],PROGRAMAS_N[PROGRAMAS ORIGEN],PROGRAMAS_N[NIVEL],"")</f>
        <v>TECNÓLOGO</v>
      </c>
      <c r="D687" s="16" t="s">
        <v>194</v>
      </c>
      <c r="E687" s="14">
        <v>260101027</v>
      </c>
      <c r="F687" s="10" t="s">
        <v>519</v>
      </c>
      <c r="G687" s="10" t="str" cm="1">
        <f t="array" ref="G687">+_xlfn.XLOOKUP(Tabla9[[#This Row],[ESPACIO ACADÉMICO DESTINO]]&amp;Tabla9[[#This Row],[PROGRAMA DESTINO]],Tabla49[ESPACIO ACADÉMICO DESTINO]&amp;Tabla49[PROGRAMA],Tabla49[CÓDIGO],"")</f>
        <v/>
      </c>
      <c r="H687" s="10"/>
      <c r="I687" s="14" t="str" cm="1">
        <f t="array" ref="I687">+_xlfn.XLOOKUP(Tabla9[[#This Row],[ESPACIO ACADÉMICO DESTINO]]&amp;Tabla9[[#This Row],[PROGRAMA DESTINO]],Tabla49[ESPACIO ACADÉMICO DESTINO]&amp;Tabla49[PROGRAMA],Tabla49[CRÉDITOS],"")</f>
        <v/>
      </c>
      <c r="J687" s="14"/>
      <c r="K687" s="10" t="s">
        <v>65</v>
      </c>
    </row>
    <row r="688" spans="3:11" ht="30" x14ac:dyDescent="0.25">
      <c r="C688" s="1" t="str">
        <f>_xlfn.XLOOKUP(Tabla9[[#This Row],[PROGRAMA ORIGEN]],PROGRAMAS_N[PROGRAMAS ORIGEN],PROGRAMAS_N[NIVEL],"")</f>
        <v>TECNÓLOGO</v>
      </c>
      <c r="D688" s="16" t="s">
        <v>194</v>
      </c>
      <c r="E688" s="14">
        <v>210101005</v>
      </c>
      <c r="F688" s="10" t="s">
        <v>510</v>
      </c>
      <c r="G688" s="10" cm="1">
        <f t="array" ref="G688">+_xlfn.XLOOKUP(Tabla9[[#This Row],[ESPACIO ACADÉMICO DESTINO]]&amp;Tabla9[[#This Row],[PROGRAMA DESTINO]],Tabla49[ESPACIO ACADÉMICO DESTINO]&amp;Tabla49[PROGRAMA],Tabla49[CÓDIGO],"")</f>
        <v>30515</v>
      </c>
      <c r="H688" s="10" t="s">
        <v>588</v>
      </c>
      <c r="I688" s="14" cm="1">
        <f t="array" ref="I688">+_xlfn.XLOOKUP(Tabla9[[#This Row],[ESPACIO ACADÉMICO DESTINO]]&amp;Tabla9[[#This Row],[PROGRAMA DESTINO]],Tabla49[ESPACIO ACADÉMICO DESTINO]&amp;Tabla49[PROGRAMA],Tabla49[CRÉDITOS],"")</f>
        <v>3</v>
      </c>
      <c r="J688" s="14">
        <v>4.5</v>
      </c>
      <c r="K688" s="10" t="s">
        <v>65</v>
      </c>
    </row>
    <row r="689" spans="3:11" ht="30" x14ac:dyDescent="0.25">
      <c r="C689" s="1" t="str">
        <f>_xlfn.XLOOKUP(Tabla9[[#This Row],[PROGRAMA ORIGEN]],PROGRAMAS_N[PROGRAMAS ORIGEN],PROGRAMAS_N[NIVEL],"")</f>
        <v>TECNÓLOGO</v>
      </c>
      <c r="D689" s="16" t="s">
        <v>194</v>
      </c>
      <c r="E689" s="14">
        <v>210101008</v>
      </c>
      <c r="F689" s="10" t="s">
        <v>902</v>
      </c>
      <c r="G689" s="10" cm="1">
        <f t="array" ref="G689">+_xlfn.XLOOKUP(Tabla9[[#This Row],[ESPACIO ACADÉMICO DESTINO]]&amp;Tabla9[[#This Row],[PROGRAMA DESTINO]],Tabla49[ESPACIO ACADÉMICO DESTINO]&amp;Tabla49[PROGRAMA],Tabla49[CÓDIGO],"")</f>
        <v>30390</v>
      </c>
      <c r="H689" s="10" t="s">
        <v>153</v>
      </c>
      <c r="I689" s="14" cm="1">
        <f t="array" ref="I689">+_xlfn.XLOOKUP(Tabla9[[#This Row],[ESPACIO ACADÉMICO DESTINO]]&amp;Tabla9[[#This Row],[PROGRAMA DESTINO]],Tabla49[ESPACIO ACADÉMICO DESTINO]&amp;Tabla49[PROGRAMA],Tabla49[CRÉDITOS],"")</f>
        <v>3</v>
      </c>
      <c r="J689" s="14">
        <v>4.5</v>
      </c>
      <c r="K689" s="10" t="s">
        <v>65</v>
      </c>
    </row>
    <row r="690" spans="3:11" ht="30" x14ac:dyDescent="0.25">
      <c r="C690" s="1" t="str">
        <f>_xlfn.XLOOKUP(Tabla9[[#This Row],[PROGRAMA ORIGEN]],PROGRAMAS_N[PROGRAMAS ORIGEN],PROGRAMAS_N[NIVEL],"")</f>
        <v>TECNÓLOGO</v>
      </c>
      <c r="D690" s="16" t="s">
        <v>194</v>
      </c>
      <c r="E690" s="14">
        <v>210101024</v>
      </c>
      <c r="F690" s="10" t="s">
        <v>528</v>
      </c>
      <c r="G690" s="10" cm="1">
        <f t="array" ref="G690">+_xlfn.XLOOKUP(Tabla9[[#This Row],[ESPACIO ACADÉMICO DESTINO]]&amp;Tabla9[[#This Row],[PROGRAMA DESTINO]],Tabla49[ESPACIO ACADÉMICO DESTINO]&amp;Tabla49[PROGRAMA],Tabla49[CÓDIGO],"")</f>
        <v>30396</v>
      </c>
      <c r="H690" s="10" t="s">
        <v>408</v>
      </c>
      <c r="I690" s="14" cm="1">
        <f t="array" ref="I690">+_xlfn.XLOOKUP(Tabla9[[#This Row],[ESPACIO ACADÉMICO DESTINO]]&amp;Tabla9[[#This Row],[PROGRAMA DESTINO]],Tabla49[ESPACIO ACADÉMICO DESTINO]&amp;Tabla49[PROGRAMA],Tabla49[CRÉDITOS],"")</f>
        <v>3</v>
      </c>
      <c r="J690" s="14">
        <v>4.5</v>
      </c>
      <c r="K690" s="10" t="s">
        <v>65</v>
      </c>
    </row>
    <row r="691" spans="3:11" ht="30" x14ac:dyDescent="0.25">
      <c r="C691" s="1" t="str">
        <f>_xlfn.XLOOKUP(Tabla9[[#This Row],[PROGRAMA ORIGEN]],PROGRAMAS_N[PROGRAMAS ORIGEN],PROGRAMAS_N[NIVEL],"")</f>
        <v>TECNÓLOGO</v>
      </c>
      <c r="D691" s="16" t="s">
        <v>194</v>
      </c>
      <c r="E691" s="14">
        <v>210101028</v>
      </c>
      <c r="F691" s="10" t="s">
        <v>513</v>
      </c>
      <c r="G691" s="10" t="str" cm="1">
        <f t="array" ref="G691">+_xlfn.XLOOKUP(Tabla9[[#This Row],[ESPACIO ACADÉMICO DESTINO]]&amp;Tabla9[[#This Row],[PROGRAMA DESTINO]],Tabla49[ESPACIO ACADÉMICO DESTINO]&amp;Tabla49[PROGRAMA],Tabla49[CÓDIGO],"")</f>
        <v/>
      </c>
      <c r="H691" s="10"/>
      <c r="I691" s="14" t="str" cm="1">
        <f t="array" ref="I691">+_xlfn.XLOOKUP(Tabla9[[#This Row],[ESPACIO ACADÉMICO DESTINO]]&amp;Tabla9[[#This Row],[PROGRAMA DESTINO]],Tabla49[ESPACIO ACADÉMICO DESTINO]&amp;Tabla49[PROGRAMA],Tabla49[CRÉDITOS],"")</f>
        <v/>
      </c>
      <c r="J691" s="14"/>
      <c r="K691" s="10" t="s">
        <v>65</v>
      </c>
    </row>
    <row r="692" spans="3:11" ht="30" x14ac:dyDescent="0.25">
      <c r="C692" s="1" t="str">
        <f>_xlfn.XLOOKUP(Tabla9[[#This Row],[PROGRAMA ORIGEN]],PROGRAMAS_N[PROGRAMAS ORIGEN],PROGRAMAS_N[NIVEL],"")</f>
        <v>TECNÓLOGO</v>
      </c>
      <c r="D692" s="16" t="s">
        <v>194</v>
      </c>
      <c r="E692" s="14">
        <v>210101031</v>
      </c>
      <c r="F692" s="10" t="s">
        <v>504</v>
      </c>
      <c r="G692" s="10" t="str" cm="1">
        <f t="array" ref="G692">+_xlfn.XLOOKUP(Tabla9[[#This Row],[ESPACIO ACADÉMICO DESTINO]]&amp;Tabla9[[#This Row],[PROGRAMA DESTINO]],Tabla49[ESPACIO ACADÉMICO DESTINO]&amp;Tabla49[PROGRAMA],Tabla49[CÓDIGO],"")</f>
        <v/>
      </c>
      <c r="H692" s="10"/>
      <c r="I692" s="14" t="str" cm="1">
        <f t="array" ref="I692">+_xlfn.XLOOKUP(Tabla9[[#This Row],[ESPACIO ACADÉMICO DESTINO]]&amp;Tabla9[[#This Row],[PROGRAMA DESTINO]],Tabla49[ESPACIO ACADÉMICO DESTINO]&amp;Tabla49[PROGRAMA],Tabla49[CRÉDITOS],"")</f>
        <v/>
      </c>
      <c r="J692" s="14"/>
      <c r="K692" s="10" t="s">
        <v>65</v>
      </c>
    </row>
    <row r="693" spans="3:11" ht="30" x14ac:dyDescent="0.25">
      <c r="C693" s="1" t="str">
        <f>_xlfn.XLOOKUP(Tabla9[[#This Row],[PROGRAMA ORIGEN]],PROGRAMAS_N[PROGRAMAS ORIGEN],PROGRAMAS_N[NIVEL],"")</f>
        <v>TECNÓLOGO</v>
      </c>
      <c r="D693" s="16" t="s">
        <v>194</v>
      </c>
      <c r="E693" s="14">
        <v>210101035</v>
      </c>
      <c r="F693" s="10" t="s">
        <v>506</v>
      </c>
      <c r="G693" s="10" t="str" cm="1">
        <f t="array" ref="G693">+_xlfn.XLOOKUP(Tabla9[[#This Row],[ESPACIO ACADÉMICO DESTINO]]&amp;Tabla9[[#This Row],[PROGRAMA DESTINO]],Tabla49[ESPACIO ACADÉMICO DESTINO]&amp;Tabla49[PROGRAMA],Tabla49[CÓDIGO],"")</f>
        <v/>
      </c>
      <c r="H693" s="10"/>
      <c r="I693" s="14" t="str" cm="1">
        <f t="array" ref="I693">+_xlfn.XLOOKUP(Tabla9[[#This Row],[ESPACIO ACADÉMICO DESTINO]]&amp;Tabla9[[#This Row],[PROGRAMA DESTINO]],Tabla49[ESPACIO ACADÉMICO DESTINO]&amp;Tabla49[PROGRAMA],Tabla49[CRÉDITOS],"")</f>
        <v/>
      </c>
      <c r="J693" s="14"/>
      <c r="K693" s="10" t="s">
        <v>65</v>
      </c>
    </row>
    <row r="694" spans="3:11" ht="30" x14ac:dyDescent="0.25">
      <c r="C694" s="1" t="str">
        <f>_xlfn.XLOOKUP(Tabla9[[#This Row],[PROGRAMA ORIGEN]],PROGRAMAS_N[PROGRAMAS ORIGEN],PROGRAMAS_N[NIVEL],"")</f>
        <v>TECNÓLOGO</v>
      </c>
      <c r="D694" s="16" t="s">
        <v>194</v>
      </c>
      <c r="E694" s="14">
        <v>210101040</v>
      </c>
      <c r="F694" s="10" t="s">
        <v>908</v>
      </c>
      <c r="G694" s="10" t="str" cm="1">
        <f t="array" ref="G694">+_xlfn.XLOOKUP(Tabla9[[#This Row],[ESPACIO ACADÉMICO DESTINO]]&amp;Tabla9[[#This Row],[PROGRAMA DESTINO]],Tabla49[ESPACIO ACADÉMICO DESTINO]&amp;Tabla49[PROGRAMA],Tabla49[CÓDIGO],"")</f>
        <v/>
      </c>
      <c r="H694" s="10"/>
      <c r="I694" s="14" t="str" cm="1">
        <f t="array" ref="I694">+_xlfn.XLOOKUP(Tabla9[[#This Row],[ESPACIO ACADÉMICO DESTINO]]&amp;Tabla9[[#This Row],[PROGRAMA DESTINO]],Tabla49[ESPACIO ACADÉMICO DESTINO]&amp;Tabla49[PROGRAMA],Tabla49[CRÉDITOS],"")</f>
        <v/>
      </c>
      <c r="J694" s="14"/>
      <c r="K694" s="10" t="s">
        <v>65</v>
      </c>
    </row>
    <row r="695" spans="3:11" ht="30" x14ac:dyDescent="0.25">
      <c r="C695" s="1" t="str">
        <f>_xlfn.XLOOKUP(Tabla9[[#This Row],[PROGRAMA ORIGEN]],PROGRAMAS_N[PROGRAMAS ORIGEN],PROGRAMAS_N[NIVEL],"")</f>
        <v>TECNÓLOGO</v>
      </c>
      <c r="D695" s="16" t="s">
        <v>194</v>
      </c>
      <c r="E695" s="14">
        <v>210101041</v>
      </c>
      <c r="F695" s="10" t="s">
        <v>577</v>
      </c>
      <c r="G695" s="10" t="str" cm="1">
        <f t="array" ref="G695">+_xlfn.XLOOKUP(Tabla9[[#This Row],[ESPACIO ACADÉMICO DESTINO]]&amp;Tabla9[[#This Row],[PROGRAMA DESTINO]],Tabla49[ESPACIO ACADÉMICO DESTINO]&amp;Tabla49[PROGRAMA],Tabla49[CÓDIGO],"")</f>
        <v/>
      </c>
      <c r="H695" s="10"/>
      <c r="I695" s="14" t="str" cm="1">
        <f t="array" ref="I695">+_xlfn.XLOOKUP(Tabla9[[#This Row],[ESPACIO ACADÉMICO DESTINO]]&amp;Tabla9[[#This Row],[PROGRAMA DESTINO]],Tabla49[ESPACIO ACADÉMICO DESTINO]&amp;Tabla49[PROGRAMA],Tabla49[CRÉDITOS],"")</f>
        <v/>
      </c>
      <c r="J695" s="14"/>
      <c r="K695" s="10" t="s">
        <v>65</v>
      </c>
    </row>
    <row r="696" spans="3:11" ht="30" x14ac:dyDescent="0.25">
      <c r="C696" s="10" t="str">
        <f>_xlfn.XLOOKUP(Tabla9[[#This Row],[PROGRAMA ORIGEN]],PROGRAMAS_N[PROGRAMAS ORIGEN],PROGRAMAS_N[NIVEL],"")</f>
        <v>TECNÓLOGO</v>
      </c>
      <c r="D696" s="16" t="s">
        <v>169</v>
      </c>
      <c r="E696" s="14">
        <v>240201500</v>
      </c>
      <c r="F696" s="10" t="s">
        <v>144</v>
      </c>
      <c r="G696" s="10" cm="1">
        <f t="array" ref="G696">+_xlfn.XLOOKUP(Tabla9[[#This Row],[ESPACIO ACADÉMICO DESTINO]]&amp;Tabla9[[#This Row],[PROGRAMA DESTINO]],Tabla49[ESPACIO ACADÉMICO DESTINO]&amp;Tabla49[PROGRAMA],Tabla49[CÓDIGO],"")</f>
        <v>30391</v>
      </c>
      <c r="H696" s="10" t="s">
        <v>565</v>
      </c>
      <c r="I696" s="14" cm="1">
        <f t="array" ref="I696">+_xlfn.XLOOKUP(Tabla9[[#This Row],[ESPACIO ACADÉMICO DESTINO]]&amp;Tabla9[[#This Row],[PROGRAMA DESTINO]],Tabla49[ESPACIO ACADÉMICO DESTINO]&amp;Tabla49[PROGRAMA],Tabla49[CRÉDITOS],"")</f>
        <v>2</v>
      </c>
      <c r="J696" s="14">
        <v>4.5</v>
      </c>
      <c r="K696" s="10" t="s">
        <v>65</v>
      </c>
    </row>
    <row r="697" spans="3:11" ht="30" x14ac:dyDescent="0.25">
      <c r="C697" s="1" t="str">
        <f>_xlfn.XLOOKUP(Tabla9[[#This Row],[PROGRAMA ORIGEN]],PROGRAMAS_N[PROGRAMAS ORIGEN],PROGRAMAS_N[NIVEL],"")</f>
        <v>TECNÓLOGO</v>
      </c>
      <c r="D697" s="16" t="s">
        <v>169</v>
      </c>
      <c r="E697" s="14">
        <v>210301002</v>
      </c>
      <c r="F697" s="10" t="s">
        <v>854</v>
      </c>
      <c r="G697" s="10" cm="1">
        <f t="array" ref="G697">+_xlfn.XLOOKUP(Tabla9[[#This Row],[ESPACIO ACADÉMICO DESTINO]]&amp;Tabla9[[#This Row],[PROGRAMA DESTINO]],Tabla49[ESPACIO ACADÉMICO DESTINO]&amp;Tabla49[PROGRAMA],Tabla49[CÓDIGO],"")</f>
        <v>30396</v>
      </c>
      <c r="H697" s="10" t="s">
        <v>408</v>
      </c>
      <c r="I697" s="14" cm="1">
        <f t="array" ref="I697">+_xlfn.XLOOKUP(Tabla9[[#This Row],[ESPACIO ACADÉMICO DESTINO]]&amp;Tabla9[[#This Row],[PROGRAMA DESTINO]],Tabla49[ESPACIO ACADÉMICO DESTINO]&amp;Tabla49[PROGRAMA],Tabla49[CRÉDITOS],"")</f>
        <v>3</v>
      </c>
      <c r="J697" s="14">
        <v>4.5</v>
      </c>
      <c r="K697" s="10" t="s">
        <v>65</v>
      </c>
    </row>
    <row r="698" spans="3:11" ht="30" x14ac:dyDescent="0.25">
      <c r="C698" s="1" t="str">
        <f>_xlfn.XLOOKUP(Tabla9[[#This Row],[PROGRAMA ORIGEN]],PROGRAMAS_N[PROGRAMAS ORIGEN],PROGRAMAS_N[NIVEL],"")</f>
        <v>TECNÓLOGO</v>
      </c>
      <c r="D698" s="16" t="s">
        <v>169</v>
      </c>
      <c r="E698" s="14">
        <v>210301004</v>
      </c>
      <c r="F698" s="10" t="s">
        <v>855</v>
      </c>
      <c r="G698" s="10" t="str" cm="1">
        <f t="array" ref="G698">+_xlfn.XLOOKUP(Tabla9[[#This Row],[ESPACIO ACADÉMICO DESTINO]]&amp;Tabla9[[#This Row],[PROGRAMA DESTINO]],Tabla49[ESPACIO ACADÉMICO DESTINO]&amp;Tabla49[PROGRAMA],Tabla49[CÓDIGO],"")</f>
        <v/>
      </c>
      <c r="H698" s="10"/>
      <c r="I698" s="14" t="str" cm="1">
        <f t="array" ref="I698">+_xlfn.XLOOKUP(Tabla9[[#This Row],[ESPACIO ACADÉMICO DESTINO]]&amp;Tabla9[[#This Row],[PROGRAMA DESTINO]],Tabla49[ESPACIO ACADÉMICO DESTINO]&amp;Tabla49[PROGRAMA],Tabla49[CRÉDITOS],"")</f>
        <v/>
      </c>
      <c r="J698" s="14"/>
      <c r="K698" s="10" t="s">
        <v>65</v>
      </c>
    </row>
    <row r="699" spans="3:11" ht="30" x14ac:dyDescent="0.25">
      <c r="C699" s="1" t="str">
        <f>_xlfn.XLOOKUP(Tabla9[[#This Row],[PROGRAMA ORIGEN]],PROGRAMAS_N[PROGRAMAS ORIGEN],PROGRAMAS_N[NIVEL],"")</f>
        <v>TECNÓLOGO</v>
      </c>
      <c r="D699" s="16" t="s">
        <v>169</v>
      </c>
      <c r="E699" s="14">
        <v>210301016</v>
      </c>
      <c r="F699" s="10" t="s">
        <v>858</v>
      </c>
      <c r="G699" s="10" cm="1">
        <f t="array" ref="G699">+_xlfn.XLOOKUP(Tabla9[[#This Row],[ESPACIO ACADÉMICO DESTINO]]&amp;Tabla9[[#This Row],[PROGRAMA DESTINO]],Tabla49[ESPACIO ACADÉMICO DESTINO]&amp;Tabla49[PROGRAMA],Tabla49[CÓDIGO],"")</f>
        <v>30381</v>
      </c>
      <c r="H699" s="10" t="s">
        <v>552</v>
      </c>
      <c r="I699" s="14" cm="1">
        <f t="array" ref="I699">+_xlfn.XLOOKUP(Tabla9[[#This Row],[ESPACIO ACADÉMICO DESTINO]]&amp;Tabla9[[#This Row],[PROGRAMA DESTINO]],Tabla49[ESPACIO ACADÉMICO DESTINO]&amp;Tabla49[PROGRAMA],Tabla49[CRÉDITOS],"")</f>
        <v>3</v>
      </c>
      <c r="J699" s="14">
        <v>4.5</v>
      </c>
      <c r="K699" s="10" t="s">
        <v>65</v>
      </c>
    </row>
    <row r="700" spans="3:11" ht="30" x14ac:dyDescent="0.25">
      <c r="C700" s="1" t="str">
        <f>_xlfn.XLOOKUP(Tabla9[[#This Row],[PROGRAMA ORIGEN]],PROGRAMAS_N[PROGRAMAS ORIGEN],PROGRAMAS_N[NIVEL],"")</f>
        <v>TECNÓLOGO</v>
      </c>
      <c r="D700" s="16" t="s">
        <v>169</v>
      </c>
      <c r="E700" s="14">
        <v>210301021</v>
      </c>
      <c r="F700" s="10" t="s">
        <v>863</v>
      </c>
      <c r="G700" s="10" t="str" cm="1">
        <f t="array" ref="G700">+_xlfn.XLOOKUP(Tabla9[[#This Row],[ESPACIO ACADÉMICO DESTINO]]&amp;Tabla9[[#This Row],[PROGRAMA DESTINO]],Tabla49[ESPACIO ACADÉMICO DESTINO]&amp;Tabla49[PROGRAMA],Tabla49[CÓDIGO],"")</f>
        <v/>
      </c>
      <c r="H700" s="10"/>
      <c r="I700" s="14" t="str" cm="1">
        <f t="array" ref="I700">+_xlfn.XLOOKUP(Tabla9[[#This Row],[ESPACIO ACADÉMICO DESTINO]]&amp;Tabla9[[#This Row],[PROGRAMA DESTINO]],Tabla49[ESPACIO ACADÉMICO DESTINO]&amp;Tabla49[PROGRAMA],Tabla49[CRÉDITOS],"")</f>
        <v/>
      </c>
      <c r="J700" s="14"/>
      <c r="K700" s="10" t="s">
        <v>65</v>
      </c>
    </row>
    <row r="701" spans="3:11" ht="30" x14ac:dyDescent="0.25">
      <c r="C701" s="1" t="str">
        <f>_xlfn.XLOOKUP(Tabla9[[#This Row],[PROGRAMA ORIGEN]],PROGRAMAS_N[PROGRAMAS ORIGEN],PROGRAMAS_N[NIVEL],"")</f>
        <v>TECNÓLOGO</v>
      </c>
      <c r="D701" s="16" t="s">
        <v>169</v>
      </c>
      <c r="E701" s="14">
        <v>210301032</v>
      </c>
      <c r="F701" s="10" t="s">
        <v>909</v>
      </c>
      <c r="G701" s="10" t="str" cm="1">
        <f t="array" ref="G701">+_xlfn.XLOOKUP(Tabla9[[#This Row],[ESPACIO ACADÉMICO DESTINO]]&amp;Tabla9[[#This Row],[PROGRAMA DESTINO]],Tabla49[ESPACIO ACADÉMICO DESTINO]&amp;Tabla49[PROGRAMA],Tabla49[CÓDIGO],"")</f>
        <v/>
      </c>
      <c r="H701" s="10"/>
      <c r="I701" s="14" t="str" cm="1">
        <f t="array" ref="I701">+_xlfn.XLOOKUP(Tabla9[[#This Row],[ESPACIO ACADÉMICO DESTINO]]&amp;Tabla9[[#This Row],[PROGRAMA DESTINO]],Tabla49[ESPACIO ACADÉMICO DESTINO]&amp;Tabla49[PROGRAMA],Tabla49[CRÉDITOS],"")</f>
        <v/>
      </c>
      <c r="J701" s="14"/>
      <c r="K701" s="10" t="s">
        <v>65</v>
      </c>
    </row>
    <row r="702" spans="3:11" ht="30" x14ac:dyDescent="0.25">
      <c r="C702" s="1" t="str">
        <f>_xlfn.XLOOKUP(Tabla9[[#This Row],[PROGRAMA ORIGEN]],PROGRAMAS_N[PROGRAMAS ORIGEN],PROGRAMAS_N[NIVEL],"")</f>
        <v>TECNÓLOGO</v>
      </c>
      <c r="D702" s="16" t="s">
        <v>169</v>
      </c>
      <c r="E702" s="14">
        <v>210301033</v>
      </c>
      <c r="F702" s="10" t="s">
        <v>910</v>
      </c>
      <c r="G702" s="10" t="str" cm="1">
        <f t="array" ref="G702">+_xlfn.XLOOKUP(Tabla9[[#This Row],[ESPACIO ACADÉMICO DESTINO]]&amp;Tabla9[[#This Row],[PROGRAMA DESTINO]],Tabla49[ESPACIO ACADÉMICO DESTINO]&amp;Tabla49[PROGRAMA],Tabla49[CÓDIGO],"")</f>
        <v/>
      </c>
      <c r="H702" s="10"/>
      <c r="I702" s="14" t="str" cm="1">
        <f t="array" ref="I702">+_xlfn.XLOOKUP(Tabla9[[#This Row],[ESPACIO ACADÉMICO DESTINO]]&amp;Tabla9[[#This Row],[PROGRAMA DESTINO]],Tabla49[ESPACIO ACADÉMICO DESTINO]&amp;Tabla49[PROGRAMA],Tabla49[CRÉDITOS],"")</f>
        <v/>
      </c>
      <c r="J702" s="14"/>
      <c r="K702" s="10" t="s">
        <v>65</v>
      </c>
    </row>
    <row r="703" spans="3:11" ht="45" x14ac:dyDescent="0.25">
      <c r="C703" s="1" t="str">
        <f>_xlfn.XLOOKUP(Tabla9[[#This Row],[PROGRAMA ORIGEN]],PROGRAMAS_N[PROGRAMAS ORIGEN],PROGRAMAS_N[NIVEL],"")</f>
        <v>TECNÓLOGO</v>
      </c>
      <c r="D703" s="16" t="s">
        <v>169</v>
      </c>
      <c r="E703" s="14">
        <v>210301037</v>
      </c>
      <c r="F703" s="10" t="s">
        <v>911</v>
      </c>
      <c r="G703" s="10" t="str" cm="1">
        <f t="array" ref="G703">+_xlfn.XLOOKUP(Tabla9[[#This Row],[ESPACIO ACADÉMICO DESTINO]]&amp;Tabla9[[#This Row],[PROGRAMA DESTINO]],Tabla49[ESPACIO ACADÉMICO DESTINO]&amp;Tabla49[PROGRAMA],Tabla49[CÓDIGO],"")</f>
        <v/>
      </c>
      <c r="H703" s="10"/>
      <c r="I703" s="14" t="str" cm="1">
        <f t="array" ref="I703">+_xlfn.XLOOKUP(Tabla9[[#This Row],[ESPACIO ACADÉMICO DESTINO]]&amp;Tabla9[[#This Row],[PROGRAMA DESTINO]],Tabla49[ESPACIO ACADÉMICO DESTINO]&amp;Tabla49[PROGRAMA],Tabla49[CRÉDITOS],"")</f>
        <v/>
      </c>
      <c r="J703" s="14"/>
      <c r="K703" s="10" t="s">
        <v>65</v>
      </c>
    </row>
    <row r="704" spans="3:11" ht="45" x14ac:dyDescent="0.25">
      <c r="C704" s="10" t="str">
        <f>_xlfn.XLOOKUP(Tabla9[[#This Row],[PROGRAMA ORIGEN]],PROGRAMAS_N[PROGRAMAS ORIGEN],PROGRAMAS_N[NIVEL],"")</f>
        <v>TÉCNICO</v>
      </c>
      <c r="D704" s="16" t="s">
        <v>241</v>
      </c>
      <c r="E704" s="14">
        <v>240201526</v>
      </c>
      <c r="F704" s="10" t="s">
        <v>864</v>
      </c>
      <c r="G704" s="10" cm="1">
        <f t="array" ref="G704">+_xlfn.XLOOKUP(Tabla9[[#This Row],[ESPACIO ACADÉMICO DESTINO]]&amp;Tabla9[[#This Row],[PROGRAMA DESTINO]],Tabla49[ESPACIO ACADÉMICO DESTINO]&amp;Tabla49[PROGRAMA],Tabla49[CÓDIGO],"")</f>
        <v>30391</v>
      </c>
      <c r="H704" s="10" t="s">
        <v>565</v>
      </c>
      <c r="I704" s="14" cm="1">
        <f t="array" ref="I704">+_xlfn.XLOOKUP(Tabla9[[#This Row],[ESPACIO ACADÉMICO DESTINO]]&amp;Tabla9[[#This Row],[PROGRAMA DESTINO]],Tabla49[ESPACIO ACADÉMICO DESTINO]&amp;Tabla49[PROGRAMA],Tabla49[CRÉDITOS],"")</f>
        <v>2</v>
      </c>
      <c r="J704" s="14">
        <v>4.5</v>
      </c>
      <c r="K704" s="10" t="s">
        <v>65</v>
      </c>
    </row>
    <row r="705" spans="3:11" ht="30" x14ac:dyDescent="0.25">
      <c r="C705" s="1" t="str">
        <f>_xlfn.XLOOKUP(Tabla9[[#This Row],[PROGRAMA ORIGEN]],PROGRAMAS_N[PROGRAMAS ORIGEN],PROGRAMAS_N[NIVEL],"")</f>
        <v>TÉCNICO</v>
      </c>
      <c r="D705" s="16" t="s">
        <v>241</v>
      </c>
      <c r="E705" s="14">
        <v>220501046</v>
      </c>
      <c r="F705" s="10" t="s">
        <v>435</v>
      </c>
      <c r="G705" s="10" cm="1">
        <f t="array" ref="G705">+_xlfn.XLOOKUP(Tabla9[[#This Row],[ESPACIO ACADÉMICO DESTINO]]&amp;Tabla9[[#This Row],[PROGRAMA DESTINO]],Tabla49[ESPACIO ACADÉMICO DESTINO]&amp;Tabla49[PROGRAMA],Tabla49[CÓDIGO],"")</f>
        <v>30383</v>
      </c>
      <c r="H705" s="10" t="s">
        <v>555</v>
      </c>
      <c r="I705" s="14" cm="1">
        <f t="array" ref="I705">+_xlfn.XLOOKUP(Tabla9[[#This Row],[ESPACIO ACADÉMICO DESTINO]]&amp;Tabla9[[#This Row],[PROGRAMA DESTINO]],Tabla49[ESPACIO ACADÉMICO DESTINO]&amp;Tabla49[PROGRAMA],Tabla49[CRÉDITOS],"")</f>
        <v>3</v>
      </c>
      <c r="J705" s="14">
        <v>4.5</v>
      </c>
      <c r="K705" s="10" t="s">
        <v>65</v>
      </c>
    </row>
    <row r="706" spans="3:11" ht="30" x14ac:dyDescent="0.25">
      <c r="C706" s="1" t="str">
        <f>_xlfn.XLOOKUP(Tabla9[[#This Row],[PROGRAMA ORIGEN]],PROGRAMAS_N[PROGRAMAS ORIGEN],PROGRAMAS_N[NIVEL],"")</f>
        <v>TÉCNICO</v>
      </c>
      <c r="D706" s="16" t="s">
        <v>241</v>
      </c>
      <c r="E706" s="14">
        <v>220601042</v>
      </c>
      <c r="F706" s="10" t="s">
        <v>912</v>
      </c>
      <c r="G706" s="10" t="str" cm="1">
        <f t="array" ref="G706">+_xlfn.XLOOKUP(Tabla9[[#This Row],[ESPACIO ACADÉMICO DESTINO]]&amp;Tabla9[[#This Row],[PROGRAMA DESTINO]],Tabla49[ESPACIO ACADÉMICO DESTINO]&amp;Tabla49[PROGRAMA],Tabla49[CÓDIGO],"")</f>
        <v/>
      </c>
      <c r="H706" s="10"/>
      <c r="I706" s="14" t="str" cm="1">
        <f t="array" ref="I706">+_xlfn.XLOOKUP(Tabla9[[#This Row],[ESPACIO ACADÉMICO DESTINO]]&amp;Tabla9[[#This Row],[PROGRAMA DESTINO]],Tabla49[ESPACIO ACADÉMICO DESTINO]&amp;Tabla49[PROGRAMA],Tabla49[CRÉDITOS],"")</f>
        <v/>
      </c>
      <c r="J706" s="14"/>
      <c r="K706" s="10" t="s">
        <v>65</v>
      </c>
    </row>
    <row r="707" spans="3:11" ht="45" x14ac:dyDescent="0.25">
      <c r="C707" s="1" t="str">
        <f>_xlfn.XLOOKUP(Tabla9[[#This Row],[PROGRAMA ORIGEN]],PROGRAMAS_N[PROGRAMAS ORIGEN],PROGRAMAS_N[NIVEL],"")</f>
        <v>TÉCNICO</v>
      </c>
      <c r="D707" s="16" t="s">
        <v>241</v>
      </c>
      <c r="E707" s="14">
        <v>240201528</v>
      </c>
      <c r="F707" s="10" t="s">
        <v>913</v>
      </c>
      <c r="G707" s="10" t="str" cm="1">
        <f t="array" ref="G707">+_xlfn.XLOOKUP(Tabla9[[#This Row],[ESPACIO ACADÉMICO DESTINO]]&amp;Tabla9[[#This Row],[PROGRAMA DESTINO]],Tabla49[ESPACIO ACADÉMICO DESTINO]&amp;Tabla49[PROGRAMA],Tabla49[CÓDIGO],"")</f>
        <v/>
      </c>
      <c r="H707" s="10"/>
      <c r="I707" s="14" t="str" cm="1">
        <f t="array" ref="I707">+_xlfn.XLOOKUP(Tabla9[[#This Row],[ESPACIO ACADÉMICO DESTINO]]&amp;Tabla9[[#This Row],[PROGRAMA DESTINO]],Tabla49[ESPACIO ACADÉMICO DESTINO]&amp;Tabla49[PROGRAMA],Tabla49[CRÉDITOS],"")</f>
        <v/>
      </c>
      <c r="J707" s="14"/>
      <c r="K707" s="10" t="s">
        <v>65</v>
      </c>
    </row>
    <row r="708" spans="3:11" ht="45" x14ac:dyDescent="0.25">
      <c r="C708" s="1" t="str">
        <f>_xlfn.XLOOKUP(Tabla9[[#This Row],[PROGRAMA ORIGEN]],PROGRAMAS_N[PROGRAMAS ORIGEN],PROGRAMAS_N[NIVEL],"")</f>
        <v>TÉCNICO</v>
      </c>
      <c r="D708" s="16" t="s">
        <v>241</v>
      </c>
      <c r="E708" s="14">
        <v>240201529</v>
      </c>
      <c r="F708" s="10" t="s">
        <v>327</v>
      </c>
      <c r="G708" s="10" t="str" cm="1">
        <f t="array" ref="G708">+_xlfn.XLOOKUP(Tabla9[[#This Row],[ESPACIO ACADÉMICO DESTINO]]&amp;Tabla9[[#This Row],[PROGRAMA DESTINO]],Tabla49[ESPACIO ACADÉMICO DESTINO]&amp;Tabla49[PROGRAMA],Tabla49[CÓDIGO],"")</f>
        <v/>
      </c>
      <c r="H708" s="10"/>
      <c r="I708" s="14" t="str" cm="1">
        <f t="array" ref="I708">+_xlfn.XLOOKUP(Tabla9[[#This Row],[ESPACIO ACADÉMICO DESTINO]]&amp;Tabla9[[#This Row],[PROGRAMA DESTINO]],Tabla49[ESPACIO ACADÉMICO DESTINO]&amp;Tabla49[PROGRAMA],Tabla49[CRÉDITOS],"")</f>
        <v/>
      </c>
      <c r="J708" s="14"/>
      <c r="K708" s="10" t="s">
        <v>65</v>
      </c>
    </row>
    <row r="709" spans="3:11" ht="30" x14ac:dyDescent="0.25">
      <c r="C709" s="1" t="str">
        <f>_xlfn.XLOOKUP(Tabla9[[#This Row],[PROGRAMA ORIGEN]],PROGRAMAS_N[PROGRAMAS ORIGEN],PROGRAMAS_N[NIVEL],"")</f>
        <v>TÉCNICO</v>
      </c>
      <c r="D709" s="16" t="s">
        <v>241</v>
      </c>
      <c r="E709" s="14">
        <v>210601027</v>
      </c>
      <c r="F709" s="10" t="s">
        <v>914</v>
      </c>
      <c r="G709" s="10" t="str" cm="1">
        <f t="array" ref="G709">+_xlfn.XLOOKUP(Tabla9[[#This Row],[ESPACIO ACADÉMICO DESTINO]]&amp;Tabla9[[#This Row],[PROGRAMA DESTINO]],Tabla49[ESPACIO ACADÉMICO DESTINO]&amp;Tabla49[PROGRAMA],Tabla49[CÓDIGO],"")</f>
        <v/>
      </c>
      <c r="H709" s="10"/>
      <c r="I709" s="14" t="str" cm="1">
        <f t="array" ref="I709">+_xlfn.XLOOKUP(Tabla9[[#This Row],[ESPACIO ACADÉMICO DESTINO]]&amp;Tabla9[[#This Row],[PROGRAMA DESTINO]],Tabla49[ESPACIO ACADÉMICO DESTINO]&amp;Tabla49[PROGRAMA],Tabla49[CRÉDITOS],"")</f>
        <v/>
      </c>
      <c r="J709" s="14"/>
      <c r="K709" s="10" t="s">
        <v>65</v>
      </c>
    </row>
    <row r="710" spans="3:11" ht="45" x14ac:dyDescent="0.25">
      <c r="C710" s="1" t="str">
        <f>_xlfn.XLOOKUP(Tabla9[[#This Row],[PROGRAMA ORIGEN]],PROGRAMAS_N[PROGRAMAS ORIGEN],PROGRAMAS_N[NIVEL],"")</f>
        <v>TÉCNICO</v>
      </c>
      <c r="D710" s="16" t="s">
        <v>241</v>
      </c>
      <c r="E710" s="14">
        <v>220601501</v>
      </c>
      <c r="F710" s="10" t="s">
        <v>289</v>
      </c>
      <c r="G710" s="10" cm="1">
        <f t="array" ref="G710">+_xlfn.XLOOKUP(Tabla9[[#This Row],[ESPACIO ACADÉMICO DESTINO]]&amp;Tabla9[[#This Row],[PROGRAMA DESTINO]],Tabla49[ESPACIO ACADÉMICO DESTINO]&amp;Tabla49[PROGRAMA],Tabla49[CÓDIGO],"")</f>
        <v>30515</v>
      </c>
      <c r="H710" s="10" t="s">
        <v>588</v>
      </c>
      <c r="I710" s="14" cm="1">
        <f t="array" ref="I710">+_xlfn.XLOOKUP(Tabla9[[#This Row],[ESPACIO ACADÉMICO DESTINO]]&amp;Tabla9[[#This Row],[PROGRAMA DESTINO]],Tabla49[ESPACIO ACADÉMICO DESTINO]&amp;Tabla49[PROGRAMA],Tabla49[CRÉDITOS],"")</f>
        <v>3</v>
      </c>
      <c r="J710" s="14">
        <v>4.5</v>
      </c>
      <c r="K710" s="10" t="s">
        <v>65</v>
      </c>
    </row>
    <row r="711" spans="3:11" ht="30" x14ac:dyDescent="0.25">
      <c r="C711" s="1" t="str">
        <f>_xlfn.XLOOKUP(Tabla9[[#This Row],[PROGRAMA ORIGEN]],PROGRAMAS_N[PROGRAMAS ORIGEN],PROGRAMAS_N[NIVEL],"")</f>
        <v>TÉCNICO</v>
      </c>
      <c r="D711" s="16" t="s">
        <v>241</v>
      </c>
      <c r="E711" s="14">
        <v>230101507</v>
      </c>
      <c r="F711" s="10" t="s">
        <v>868</v>
      </c>
      <c r="G711" s="10" t="str" cm="1">
        <f t="array" ref="G711">+_xlfn.XLOOKUP(Tabla9[[#This Row],[ESPACIO ACADÉMICO DESTINO]]&amp;Tabla9[[#This Row],[PROGRAMA DESTINO]],Tabla49[ESPACIO ACADÉMICO DESTINO]&amp;Tabla49[PROGRAMA],Tabla49[CÓDIGO],"")</f>
        <v/>
      </c>
      <c r="H711" s="10"/>
      <c r="I711" s="14" t="str" cm="1">
        <f t="array" ref="I711">+_xlfn.XLOOKUP(Tabla9[[#This Row],[ESPACIO ACADÉMICO DESTINO]]&amp;Tabla9[[#This Row],[PROGRAMA DESTINO]],Tabla49[ESPACIO ACADÉMICO DESTINO]&amp;Tabla49[PROGRAMA],Tabla49[CRÉDITOS],"")</f>
        <v/>
      </c>
      <c r="J711" s="14"/>
      <c r="K711" s="10" t="s">
        <v>65</v>
      </c>
    </row>
    <row r="712" spans="3:11" ht="30" x14ac:dyDescent="0.25">
      <c r="C712" s="1" t="str">
        <f>_xlfn.XLOOKUP(Tabla9[[#This Row],[PROGRAMA ORIGEN]],PROGRAMAS_N[PROGRAMAS ORIGEN],PROGRAMAS_N[NIVEL],"")</f>
        <v>TÉCNICO</v>
      </c>
      <c r="D712" s="16" t="s">
        <v>241</v>
      </c>
      <c r="E712" s="14">
        <v>240201524</v>
      </c>
      <c r="F712" s="10" t="s">
        <v>452</v>
      </c>
      <c r="G712" s="10" t="str" cm="1">
        <f t="array" ref="G712">+_xlfn.XLOOKUP(Tabla9[[#This Row],[ESPACIO ACADÉMICO DESTINO]]&amp;Tabla9[[#This Row],[PROGRAMA DESTINO]],Tabla49[ESPACIO ACADÉMICO DESTINO]&amp;Tabla49[PROGRAMA],Tabla49[CÓDIGO],"")</f>
        <v/>
      </c>
      <c r="H712" s="10"/>
      <c r="I712" s="14" t="str" cm="1">
        <f t="array" ref="I712">+_xlfn.XLOOKUP(Tabla9[[#This Row],[ESPACIO ACADÉMICO DESTINO]]&amp;Tabla9[[#This Row],[PROGRAMA DESTINO]],Tabla49[ESPACIO ACADÉMICO DESTINO]&amp;Tabla49[PROGRAMA],Tabla49[CRÉDITOS],"")</f>
        <v/>
      </c>
      <c r="J712" s="14"/>
      <c r="K712" s="10" t="s">
        <v>65</v>
      </c>
    </row>
    <row r="713" spans="3:11" ht="30" x14ac:dyDescent="0.25">
      <c r="C713" s="1" t="str">
        <f>_xlfn.XLOOKUP(Tabla9[[#This Row],[PROGRAMA ORIGEN]],PROGRAMAS_N[PROGRAMAS ORIGEN],PROGRAMAS_N[NIVEL],"")</f>
        <v>TÉCNICO</v>
      </c>
      <c r="D713" s="16" t="s">
        <v>241</v>
      </c>
      <c r="E713" s="14">
        <v>210201048</v>
      </c>
      <c r="F713" s="10" t="s">
        <v>915</v>
      </c>
      <c r="G713" s="10" t="str" cm="1">
        <f t="array" ref="G713">+_xlfn.XLOOKUP(Tabla9[[#This Row],[ESPACIO ACADÉMICO DESTINO]]&amp;Tabla9[[#This Row],[PROGRAMA DESTINO]],Tabla49[ESPACIO ACADÉMICO DESTINO]&amp;Tabla49[PROGRAMA],Tabla49[CÓDIGO],"")</f>
        <v/>
      </c>
      <c r="H713" s="10"/>
      <c r="I713" s="14" t="str" cm="1">
        <f t="array" ref="I713">+_xlfn.XLOOKUP(Tabla9[[#This Row],[ESPACIO ACADÉMICO DESTINO]]&amp;Tabla9[[#This Row],[PROGRAMA DESTINO]],Tabla49[ESPACIO ACADÉMICO DESTINO]&amp;Tabla49[PROGRAMA],Tabla49[CRÉDITOS],"")</f>
        <v/>
      </c>
      <c r="J713" s="14"/>
      <c r="K713" s="10" t="s">
        <v>65</v>
      </c>
    </row>
    <row r="714" spans="3:11" ht="30" x14ac:dyDescent="0.25">
      <c r="C714" s="1" t="str">
        <f>_xlfn.XLOOKUP(Tabla9[[#This Row],[PROGRAMA ORIGEN]],PROGRAMAS_N[PROGRAMAS ORIGEN],PROGRAMAS_N[NIVEL],"")</f>
        <v>TÉCNICO</v>
      </c>
      <c r="D714" s="16" t="s">
        <v>241</v>
      </c>
      <c r="E714" s="14">
        <v>210201501</v>
      </c>
      <c r="F714" s="10" t="s">
        <v>916</v>
      </c>
      <c r="G714" s="10" t="str" cm="1">
        <f t="array" ref="G714">+_xlfn.XLOOKUP(Tabla9[[#This Row],[ESPACIO ACADÉMICO DESTINO]]&amp;Tabla9[[#This Row],[PROGRAMA DESTINO]],Tabla49[ESPACIO ACADÉMICO DESTINO]&amp;Tabla49[PROGRAMA],Tabla49[CÓDIGO],"")</f>
        <v/>
      </c>
      <c r="H714" s="10"/>
      <c r="I714" s="14" t="str" cm="1">
        <f t="array" ref="I714">+_xlfn.XLOOKUP(Tabla9[[#This Row],[ESPACIO ACADÉMICO DESTINO]]&amp;Tabla9[[#This Row],[PROGRAMA DESTINO]],Tabla49[ESPACIO ACADÉMICO DESTINO]&amp;Tabla49[PROGRAMA],Tabla49[CRÉDITOS],"")</f>
        <v/>
      </c>
      <c r="J714" s="14"/>
      <c r="K714" s="10" t="s">
        <v>65</v>
      </c>
    </row>
    <row r="715" spans="3:11" ht="45" x14ac:dyDescent="0.25">
      <c r="C715" s="10" t="str">
        <f>_xlfn.XLOOKUP(Tabla9[[#This Row],[PROGRAMA ORIGEN]],PROGRAMAS_N[PROGRAMAS ORIGEN],PROGRAMAS_N[NIVEL],"")</f>
        <v>TÉCNICO</v>
      </c>
      <c r="D715" s="16" t="s">
        <v>134</v>
      </c>
      <c r="E715" s="14">
        <v>240201526</v>
      </c>
      <c r="F715" s="10" t="s">
        <v>864</v>
      </c>
      <c r="G715" s="10" cm="1">
        <f t="array" ref="G715">+_xlfn.XLOOKUP(Tabla9[[#This Row],[ESPACIO ACADÉMICO DESTINO]]&amp;Tabla9[[#This Row],[PROGRAMA DESTINO]],Tabla49[ESPACIO ACADÉMICO DESTINO]&amp;Tabla49[PROGRAMA],Tabla49[CÓDIGO],"")</f>
        <v>30391</v>
      </c>
      <c r="H715" s="10" t="s">
        <v>565</v>
      </c>
      <c r="I715" s="14" cm="1">
        <f t="array" ref="I715">+_xlfn.XLOOKUP(Tabla9[[#This Row],[ESPACIO ACADÉMICO DESTINO]]&amp;Tabla9[[#This Row],[PROGRAMA DESTINO]],Tabla49[ESPACIO ACADÉMICO DESTINO]&amp;Tabla49[PROGRAMA],Tabla49[CRÉDITOS],"")</f>
        <v>2</v>
      </c>
      <c r="J715" s="14">
        <v>4.5</v>
      </c>
      <c r="K715" s="10" t="s">
        <v>65</v>
      </c>
    </row>
    <row r="716" spans="3:11" ht="45" x14ac:dyDescent="0.25">
      <c r="C716" s="1" t="str">
        <f>_xlfn.XLOOKUP(Tabla9[[#This Row],[PROGRAMA ORIGEN]],PROGRAMAS_N[PROGRAMAS ORIGEN],PROGRAMAS_N[NIVEL],"")</f>
        <v>TÉCNICO</v>
      </c>
      <c r="D716" s="16" t="s">
        <v>134</v>
      </c>
      <c r="E716" s="14">
        <v>210201501</v>
      </c>
      <c r="F716" s="10" t="s">
        <v>916</v>
      </c>
      <c r="G716" s="10" t="str" cm="1">
        <f t="array" ref="G716">+_xlfn.XLOOKUP(Tabla9[[#This Row],[ESPACIO ACADÉMICO DESTINO]]&amp;Tabla9[[#This Row],[PROGRAMA DESTINO]],Tabla49[ESPACIO ACADÉMICO DESTINO]&amp;Tabla49[PROGRAMA],Tabla49[CÓDIGO],"")</f>
        <v/>
      </c>
      <c r="H716" s="10"/>
      <c r="I716" s="14" t="str" cm="1">
        <f t="array" ref="I716">+_xlfn.XLOOKUP(Tabla9[[#This Row],[ESPACIO ACADÉMICO DESTINO]]&amp;Tabla9[[#This Row],[PROGRAMA DESTINO]],Tabla49[ESPACIO ACADÉMICO DESTINO]&amp;Tabla49[PROGRAMA],Tabla49[CRÉDITOS],"")</f>
        <v/>
      </c>
      <c r="J716" s="14"/>
      <c r="K716" s="10" t="s">
        <v>65</v>
      </c>
    </row>
    <row r="717" spans="3:11" ht="45" x14ac:dyDescent="0.25">
      <c r="C717" s="1" t="str">
        <f>_xlfn.XLOOKUP(Tabla9[[#This Row],[PROGRAMA ORIGEN]],PROGRAMAS_N[PROGRAMAS ORIGEN],PROGRAMAS_N[NIVEL],"")</f>
        <v>TÉCNICO</v>
      </c>
      <c r="D717" s="16" t="s">
        <v>134</v>
      </c>
      <c r="E717" s="14">
        <v>220501046</v>
      </c>
      <c r="F717" s="10" t="s">
        <v>435</v>
      </c>
      <c r="G717" s="10" cm="1">
        <f t="array" ref="G717">+_xlfn.XLOOKUP(Tabla9[[#This Row],[ESPACIO ACADÉMICO DESTINO]]&amp;Tabla9[[#This Row],[PROGRAMA DESTINO]],Tabla49[ESPACIO ACADÉMICO DESTINO]&amp;Tabla49[PROGRAMA],Tabla49[CÓDIGO],"")</f>
        <v>30383</v>
      </c>
      <c r="H717" s="10" t="s">
        <v>896</v>
      </c>
      <c r="I717" s="14" cm="1">
        <f t="array" ref="I717">+_xlfn.XLOOKUP(Tabla9[[#This Row],[ESPACIO ACADÉMICO DESTINO]]&amp;Tabla9[[#This Row],[PROGRAMA DESTINO]],Tabla49[ESPACIO ACADÉMICO DESTINO]&amp;Tabla49[PROGRAMA],Tabla49[CRÉDITOS],"")</f>
        <v>3</v>
      </c>
      <c r="J717" s="14">
        <v>4.5</v>
      </c>
      <c r="K717" s="10" t="s">
        <v>65</v>
      </c>
    </row>
    <row r="718" spans="3:11" ht="45" x14ac:dyDescent="0.25">
      <c r="C718" s="1" t="str">
        <f>_xlfn.XLOOKUP(Tabla9[[#This Row],[PROGRAMA ORIGEN]],PROGRAMAS_N[PROGRAMAS ORIGEN],PROGRAMAS_N[NIVEL],"")</f>
        <v>TÉCNICO</v>
      </c>
      <c r="D718" s="16" t="s">
        <v>134</v>
      </c>
      <c r="E718" s="14">
        <v>220601501</v>
      </c>
      <c r="F718" s="10" t="s">
        <v>289</v>
      </c>
      <c r="G718" s="10" t="str" cm="1">
        <f t="array" ref="G718">+_xlfn.XLOOKUP(Tabla9[[#This Row],[ESPACIO ACADÉMICO DESTINO]]&amp;Tabla9[[#This Row],[PROGRAMA DESTINO]],Tabla49[ESPACIO ACADÉMICO DESTINO]&amp;Tabla49[PROGRAMA],Tabla49[CÓDIGO],"")</f>
        <v/>
      </c>
      <c r="H718" s="10"/>
      <c r="I718" s="14" t="str" cm="1">
        <f t="array" ref="I718">+_xlfn.XLOOKUP(Tabla9[[#This Row],[ESPACIO ACADÉMICO DESTINO]]&amp;Tabla9[[#This Row],[PROGRAMA DESTINO]],Tabla49[ESPACIO ACADÉMICO DESTINO]&amp;Tabla49[PROGRAMA],Tabla49[CRÉDITOS],"")</f>
        <v/>
      </c>
      <c r="J718" s="14"/>
      <c r="K718" s="10" t="s">
        <v>65</v>
      </c>
    </row>
    <row r="719" spans="3:11" ht="45" x14ac:dyDescent="0.25">
      <c r="C719" s="1" t="str">
        <f>_xlfn.XLOOKUP(Tabla9[[#This Row],[PROGRAMA ORIGEN]],PROGRAMAS_N[PROGRAMAS ORIGEN],PROGRAMAS_N[NIVEL],"")</f>
        <v>TÉCNICO</v>
      </c>
      <c r="D719" s="16" t="s">
        <v>134</v>
      </c>
      <c r="E719" s="14">
        <v>240201524</v>
      </c>
      <c r="F719" s="10" t="s">
        <v>452</v>
      </c>
      <c r="G719" s="10" t="str" cm="1">
        <f t="array" ref="G719">+_xlfn.XLOOKUP(Tabla9[[#This Row],[ESPACIO ACADÉMICO DESTINO]]&amp;Tabla9[[#This Row],[PROGRAMA DESTINO]],Tabla49[ESPACIO ACADÉMICO DESTINO]&amp;Tabla49[PROGRAMA],Tabla49[CÓDIGO],"")</f>
        <v/>
      </c>
      <c r="H719" s="10"/>
      <c r="I719" s="14" t="str" cm="1">
        <f t="array" ref="I719">+_xlfn.XLOOKUP(Tabla9[[#This Row],[ESPACIO ACADÉMICO DESTINO]]&amp;Tabla9[[#This Row],[PROGRAMA DESTINO]],Tabla49[ESPACIO ACADÉMICO DESTINO]&amp;Tabla49[PROGRAMA],Tabla49[CRÉDITOS],"")</f>
        <v/>
      </c>
      <c r="J719" s="14"/>
      <c r="K719" s="10" t="s">
        <v>65</v>
      </c>
    </row>
    <row r="720" spans="3:11" ht="45" x14ac:dyDescent="0.25">
      <c r="C720" s="1" t="str">
        <f>_xlfn.XLOOKUP(Tabla9[[#This Row],[PROGRAMA ORIGEN]],PROGRAMAS_N[PROGRAMAS ORIGEN],PROGRAMAS_N[NIVEL],"")</f>
        <v>TÉCNICO</v>
      </c>
      <c r="D720" s="16" t="s">
        <v>134</v>
      </c>
      <c r="E720" s="14">
        <v>240201528</v>
      </c>
      <c r="F720" s="10" t="s">
        <v>448</v>
      </c>
      <c r="G720" s="10" t="str" cm="1">
        <f t="array" ref="G720">+_xlfn.XLOOKUP(Tabla9[[#This Row],[ESPACIO ACADÉMICO DESTINO]]&amp;Tabla9[[#This Row],[PROGRAMA DESTINO]],Tabla49[ESPACIO ACADÉMICO DESTINO]&amp;Tabla49[PROGRAMA],Tabla49[CÓDIGO],"")</f>
        <v/>
      </c>
      <c r="H720" s="10"/>
      <c r="I720" s="14" t="str" cm="1">
        <f t="array" ref="I720">+_xlfn.XLOOKUP(Tabla9[[#This Row],[ESPACIO ACADÉMICO DESTINO]]&amp;Tabla9[[#This Row],[PROGRAMA DESTINO]],Tabla49[ESPACIO ACADÉMICO DESTINO]&amp;Tabla49[PROGRAMA],Tabla49[CRÉDITOS],"")</f>
        <v/>
      </c>
      <c r="J720" s="14"/>
      <c r="K720" s="10" t="s">
        <v>65</v>
      </c>
    </row>
    <row r="721" spans="3:11" ht="45" x14ac:dyDescent="0.25">
      <c r="C721" s="1" t="str">
        <f>_xlfn.XLOOKUP(Tabla9[[#This Row],[PROGRAMA ORIGEN]],PROGRAMAS_N[PROGRAMAS ORIGEN],PROGRAMAS_N[NIVEL],"")</f>
        <v>TÉCNICO</v>
      </c>
      <c r="D721" s="16" t="s">
        <v>134</v>
      </c>
      <c r="E721" s="14">
        <v>240201529</v>
      </c>
      <c r="F721" s="10" t="s">
        <v>327</v>
      </c>
      <c r="G721" s="10" t="str" cm="1">
        <f t="array" ref="G721">+_xlfn.XLOOKUP(Tabla9[[#This Row],[ESPACIO ACADÉMICO DESTINO]]&amp;Tabla9[[#This Row],[PROGRAMA DESTINO]],Tabla49[ESPACIO ACADÉMICO DESTINO]&amp;Tabla49[PROGRAMA],Tabla49[CÓDIGO],"")</f>
        <v/>
      </c>
      <c r="H721" s="10"/>
      <c r="I721" s="14" t="str" cm="1">
        <f t="array" ref="I721">+_xlfn.XLOOKUP(Tabla9[[#This Row],[ESPACIO ACADÉMICO DESTINO]]&amp;Tabla9[[#This Row],[PROGRAMA DESTINO]],Tabla49[ESPACIO ACADÉMICO DESTINO]&amp;Tabla49[PROGRAMA],Tabla49[CRÉDITOS],"")</f>
        <v/>
      </c>
      <c r="J721" s="14"/>
      <c r="K721" s="10" t="s">
        <v>65</v>
      </c>
    </row>
    <row r="722" spans="3:11" ht="45" x14ac:dyDescent="0.25">
      <c r="C722" s="1" t="str">
        <f>_xlfn.XLOOKUP(Tabla9[[#This Row],[PROGRAMA ORIGEN]],PROGRAMAS_N[PROGRAMAS ORIGEN],PROGRAMAS_N[NIVEL],"")</f>
        <v>TÉCNICO</v>
      </c>
      <c r="D722" s="16" t="s">
        <v>134</v>
      </c>
      <c r="E722" s="14">
        <v>210303022</v>
      </c>
      <c r="F722" s="10" t="s">
        <v>917</v>
      </c>
      <c r="G722" s="10" cm="1">
        <f t="array" ref="G722">+_xlfn.XLOOKUP(Tabla9[[#This Row],[ESPACIO ACADÉMICO DESTINO]]&amp;Tabla9[[#This Row],[PROGRAMA DESTINO]],Tabla49[ESPACIO ACADÉMICO DESTINO]&amp;Tabla49[PROGRAMA],Tabla49[CÓDIGO],"")</f>
        <v>30381</v>
      </c>
      <c r="H722" s="10" t="s">
        <v>552</v>
      </c>
      <c r="I722" s="14" cm="1">
        <f t="array" ref="I722">+_xlfn.XLOOKUP(Tabla9[[#This Row],[ESPACIO ACADÉMICO DESTINO]]&amp;Tabla9[[#This Row],[PROGRAMA DESTINO]],Tabla49[ESPACIO ACADÉMICO DESTINO]&amp;Tabla49[PROGRAMA],Tabla49[CRÉDITOS],"")</f>
        <v>3</v>
      </c>
      <c r="J722" s="14">
        <v>4.5</v>
      </c>
      <c r="K722" s="10" t="s">
        <v>65</v>
      </c>
    </row>
    <row r="723" spans="3:11" ht="45" x14ac:dyDescent="0.25">
      <c r="C723" s="10" t="str">
        <f>_xlfn.XLOOKUP(Tabla9[[#This Row],[PROGRAMA ORIGEN]],PROGRAMAS_N[PROGRAMAS ORIGEN],PROGRAMAS_N[NIVEL],"")</f>
        <v>TÉCNICO</v>
      </c>
      <c r="D723" s="16" t="s">
        <v>98</v>
      </c>
      <c r="E723" s="14">
        <v>240201526</v>
      </c>
      <c r="F723" s="10" t="s">
        <v>864</v>
      </c>
      <c r="G723" s="10" cm="1">
        <f t="array" ref="G723">+_xlfn.XLOOKUP(Tabla9[[#This Row],[ESPACIO ACADÉMICO DESTINO]]&amp;Tabla9[[#This Row],[PROGRAMA DESTINO]],Tabla49[ESPACIO ACADÉMICO DESTINO]&amp;Tabla49[PROGRAMA],Tabla49[CÓDIGO],"")</f>
        <v>30391</v>
      </c>
      <c r="H723" s="10" t="s">
        <v>565</v>
      </c>
      <c r="I723" s="14" cm="1">
        <f t="array" ref="I723">+_xlfn.XLOOKUP(Tabla9[[#This Row],[ESPACIO ACADÉMICO DESTINO]]&amp;Tabla9[[#This Row],[PROGRAMA DESTINO]],Tabla49[ESPACIO ACADÉMICO DESTINO]&amp;Tabla49[PROGRAMA],Tabla49[CRÉDITOS],"")</f>
        <v>2</v>
      </c>
      <c r="J723" s="14">
        <v>4.5</v>
      </c>
      <c r="K723" s="10" t="s">
        <v>65</v>
      </c>
    </row>
    <row r="724" spans="3:11" ht="30" x14ac:dyDescent="0.25">
      <c r="C724" s="1" t="str">
        <f>_xlfn.XLOOKUP(Tabla9[[#This Row],[PROGRAMA ORIGEN]],PROGRAMAS_N[PROGRAMAS ORIGEN],PROGRAMAS_N[NIVEL],"")</f>
        <v>TÉCNICO</v>
      </c>
      <c r="D724" s="16" t="s">
        <v>98</v>
      </c>
      <c r="E724" s="14">
        <v>220501046</v>
      </c>
      <c r="F724" s="10" t="s">
        <v>435</v>
      </c>
      <c r="G724" s="10" cm="1">
        <f t="array" ref="G724">+_xlfn.XLOOKUP(Tabla9[[#This Row],[ESPACIO ACADÉMICO DESTINO]]&amp;Tabla9[[#This Row],[PROGRAMA DESTINO]],Tabla49[ESPACIO ACADÉMICO DESTINO]&amp;Tabla49[PROGRAMA],Tabla49[CÓDIGO],"")</f>
        <v>30383</v>
      </c>
      <c r="H724" s="10" t="s">
        <v>555</v>
      </c>
      <c r="I724" s="14" cm="1">
        <f t="array" ref="I724">+_xlfn.XLOOKUP(Tabla9[[#This Row],[ESPACIO ACADÉMICO DESTINO]]&amp;Tabla9[[#This Row],[PROGRAMA DESTINO]],Tabla49[ESPACIO ACADÉMICO DESTINO]&amp;Tabla49[PROGRAMA],Tabla49[CRÉDITOS],"")</f>
        <v>3</v>
      </c>
      <c r="J724" s="14">
        <v>4.5</v>
      </c>
      <c r="K724" s="10" t="s">
        <v>65</v>
      </c>
    </row>
    <row r="725" spans="3:11" ht="45" x14ac:dyDescent="0.25">
      <c r="C725" s="1" t="str">
        <f>_xlfn.XLOOKUP(Tabla9[[#This Row],[PROGRAMA ORIGEN]],PROGRAMAS_N[PROGRAMAS ORIGEN],PROGRAMAS_N[NIVEL],"")</f>
        <v>TÉCNICO</v>
      </c>
      <c r="D725" s="16" t="s">
        <v>98</v>
      </c>
      <c r="E725" s="14">
        <v>220601501</v>
      </c>
      <c r="F725" s="10" t="s">
        <v>289</v>
      </c>
      <c r="G725" s="10" t="str" cm="1">
        <f t="array" ref="G725">+_xlfn.XLOOKUP(Tabla9[[#This Row],[ESPACIO ACADÉMICO DESTINO]]&amp;Tabla9[[#This Row],[PROGRAMA DESTINO]],Tabla49[ESPACIO ACADÉMICO DESTINO]&amp;Tabla49[PROGRAMA],Tabla49[CÓDIGO],"")</f>
        <v/>
      </c>
      <c r="H725" s="10"/>
      <c r="I725" s="14" t="str" cm="1">
        <f t="array" ref="I725">+_xlfn.XLOOKUP(Tabla9[[#This Row],[ESPACIO ACADÉMICO DESTINO]]&amp;Tabla9[[#This Row],[PROGRAMA DESTINO]],Tabla49[ESPACIO ACADÉMICO DESTINO]&amp;Tabla49[PROGRAMA],Tabla49[CRÉDITOS],"")</f>
        <v/>
      </c>
      <c r="J725" s="14"/>
      <c r="K725" s="10" t="s">
        <v>65</v>
      </c>
    </row>
    <row r="726" spans="3:11" ht="30" x14ac:dyDescent="0.25">
      <c r="C726" s="1" t="str">
        <f>_xlfn.XLOOKUP(Tabla9[[#This Row],[PROGRAMA ORIGEN]],PROGRAMAS_N[PROGRAMAS ORIGEN],PROGRAMAS_N[NIVEL],"")</f>
        <v>TÉCNICO</v>
      </c>
      <c r="D726" s="16" t="s">
        <v>98</v>
      </c>
      <c r="E726" s="14">
        <v>230101507</v>
      </c>
      <c r="F726" s="10" t="s">
        <v>868</v>
      </c>
      <c r="G726" s="10" t="str" cm="1">
        <f t="array" ref="G726">+_xlfn.XLOOKUP(Tabla9[[#This Row],[ESPACIO ACADÉMICO DESTINO]]&amp;Tabla9[[#This Row],[PROGRAMA DESTINO]],Tabla49[ESPACIO ACADÉMICO DESTINO]&amp;Tabla49[PROGRAMA],Tabla49[CÓDIGO],"")</f>
        <v/>
      </c>
      <c r="H726" s="10"/>
      <c r="I726" s="14" t="str" cm="1">
        <f t="array" ref="I726">+_xlfn.XLOOKUP(Tabla9[[#This Row],[ESPACIO ACADÉMICO DESTINO]]&amp;Tabla9[[#This Row],[PROGRAMA DESTINO]],Tabla49[ESPACIO ACADÉMICO DESTINO]&amp;Tabla49[PROGRAMA],Tabla49[CRÉDITOS],"")</f>
        <v/>
      </c>
      <c r="J726" s="14"/>
      <c r="K726" s="10" t="s">
        <v>65</v>
      </c>
    </row>
    <row r="727" spans="3:11" ht="30" x14ac:dyDescent="0.25">
      <c r="C727" s="1" t="str">
        <f>_xlfn.XLOOKUP(Tabla9[[#This Row],[PROGRAMA ORIGEN]],PROGRAMAS_N[PROGRAMAS ORIGEN],PROGRAMAS_N[NIVEL],"")</f>
        <v>TÉCNICO</v>
      </c>
      <c r="D727" s="16" t="s">
        <v>98</v>
      </c>
      <c r="E727" s="14">
        <v>240201524</v>
      </c>
      <c r="F727" s="10" t="s">
        <v>452</v>
      </c>
      <c r="G727" s="10" t="str" cm="1">
        <f t="array" ref="G727">+_xlfn.XLOOKUP(Tabla9[[#This Row],[ESPACIO ACADÉMICO DESTINO]]&amp;Tabla9[[#This Row],[PROGRAMA DESTINO]],Tabla49[ESPACIO ACADÉMICO DESTINO]&amp;Tabla49[PROGRAMA],Tabla49[CÓDIGO],"")</f>
        <v/>
      </c>
      <c r="H727" s="10"/>
      <c r="I727" s="14" t="str" cm="1">
        <f t="array" ref="I727">+_xlfn.XLOOKUP(Tabla9[[#This Row],[ESPACIO ACADÉMICO DESTINO]]&amp;Tabla9[[#This Row],[PROGRAMA DESTINO]],Tabla49[ESPACIO ACADÉMICO DESTINO]&amp;Tabla49[PROGRAMA],Tabla49[CRÉDITOS],"")</f>
        <v/>
      </c>
      <c r="J727" s="14"/>
      <c r="K727" s="10" t="s">
        <v>65</v>
      </c>
    </row>
    <row r="728" spans="3:11" ht="30" x14ac:dyDescent="0.25">
      <c r="C728" s="1" t="str">
        <f>_xlfn.XLOOKUP(Tabla9[[#This Row],[PROGRAMA ORIGEN]],PROGRAMAS_N[PROGRAMAS ORIGEN],PROGRAMAS_N[NIVEL],"")</f>
        <v>TÉCNICO</v>
      </c>
      <c r="D728" s="16" t="s">
        <v>98</v>
      </c>
      <c r="E728" s="14">
        <v>210601024</v>
      </c>
      <c r="F728" s="10" t="s">
        <v>918</v>
      </c>
      <c r="G728" s="10" t="str" cm="1">
        <f t="array" ref="G728">+_xlfn.XLOOKUP(Tabla9[[#This Row],[ESPACIO ACADÉMICO DESTINO]]&amp;Tabla9[[#This Row],[PROGRAMA DESTINO]],Tabla49[ESPACIO ACADÉMICO DESTINO]&amp;Tabla49[PROGRAMA],Tabla49[CÓDIGO],"")</f>
        <v/>
      </c>
      <c r="H728" s="10"/>
      <c r="I728" s="14" t="str" cm="1">
        <f t="array" ref="I728">+_xlfn.XLOOKUP(Tabla9[[#This Row],[ESPACIO ACADÉMICO DESTINO]]&amp;Tabla9[[#This Row],[PROGRAMA DESTINO]],Tabla49[ESPACIO ACADÉMICO DESTINO]&amp;Tabla49[PROGRAMA],Tabla49[CRÉDITOS],"")</f>
        <v/>
      </c>
      <c r="J728" s="14"/>
      <c r="K728" s="10" t="s">
        <v>65</v>
      </c>
    </row>
    <row r="729" spans="3:11" ht="30" x14ac:dyDescent="0.25">
      <c r="C729" s="1" t="str">
        <f>_xlfn.XLOOKUP(Tabla9[[#This Row],[PROGRAMA ORIGEN]],PROGRAMAS_N[PROGRAMAS ORIGEN],PROGRAMAS_N[NIVEL],"")</f>
        <v>TÉCNICO</v>
      </c>
      <c r="D729" s="16" t="s">
        <v>98</v>
      </c>
      <c r="E729" s="14">
        <v>210601024</v>
      </c>
      <c r="F729" s="10" t="s">
        <v>918</v>
      </c>
      <c r="G729" s="10" t="str" cm="1">
        <f t="array" ref="G729">+_xlfn.XLOOKUP(Tabla9[[#This Row],[ESPACIO ACADÉMICO DESTINO]]&amp;Tabla9[[#This Row],[PROGRAMA DESTINO]],Tabla49[ESPACIO ACADÉMICO DESTINO]&amp;Tabla49[PROGRAMA],Tabla49[CÓDIGO],"")</f>
        <v/>
      </c>
      <c r="H729" s="10"/>
      <c r="I729" s="14" t="str" cm="1">
        <f t="array" ref="I729">+_xlfn.XLOOKUP(Tabla9[[#This Row],[ESPACIO ACADÉMICO DESTINO]]&amp;Tabla9[[#This Row],[PROGRAMA DESTINO]],Tabla49[ESPACIO ACADÉMICO DESTINO]&amp;Tabla49[PROGRAMA],Tabla49[CRÉDITOS],"")</f>
        <v/>
      </c>
      <c r="J729" s="14"/>
      <c r="K729" s="10" t="s">
        <v>65</v>
      </c>
    </row>
    <row r="730" spans="3:11" ht="30" x14ac:dyDescent="0.25">
      <c r="C730" s="1" t="str">
        <f>_xlfn.XLOOKUP(Tabla9[[#This Row],[PROGRAMA ORIGEN]],PROGRAMAS_N[PROGRAMAS ORIGEN],PROGRAMAS_N[NIVEL],"")</f>
        <v>TÉCNICO</v>
      </c>
      <c r="D730" s="16" t="s">
        <v>98</v>
      </c>
      <c r="E730" s="14">
        <v>210201501</v>
      </c>
      <c r="F730" s="10" t="s">
        <v>916</v>
      </c>
      <c r="G730" s="10" t="str" cm="1">
        <f t="array" ref="G730">+_xlfn.XLOOKUP(Tabla9[[#This Row],[ESPACIO ACADÉMICO DESTINO]]&amp;Tabla9[[#This Row],[PROGRAMA DESTINO]],Tabla49[ESPACIO ACADÉMICO DESTINO]&amp;Tabla49[PROGRAMA],Tabla49[CÓDIGO],"")</f>
        <v/>
      </c>
      <c r="H730" s="10"/>
      <c r="I730" s="14" t="str" cm="1">
        <f t="array" ref="I730">+_xlfn.XLOOKUP(Tabla9[[#This Row],[ESPACIO ACADÉMICO DESTINO]]&amp;Tabla9[[#This Row],[PROGRAMA DESTINO]],Tabla49[ESPACIO ACADÉMICO DESTINO]&amp;Tabla49[PROGRAMA],Tabla49[CRÉDITOS],"")</f>
        <v/>
      </c>
      <c r="J730" s="14"/>
      <c r="K730" s="10" t="s">
        <v>65</v>
      </c>
    </row>
    <row r="731" spans="3:11" ht="45" x14ac:dyDescent="0.25">
      <c r="C731" s="1" t="str">
        <f>_xlfn.XLOOKUP(Tabla9[[#This Row],[PROGRAMA ORIGEN]],PROGRAMAS_N[PROGRAMAS ORIGEN],PROGRAMAS_N[NIVEL],"")</f>
        <v>TÉCNICO</v>
      </c>
      <c r="D731" s="16" t="s">
        <v>98</v>
      </c>
      <c r="E731" s="14">
        <v>240201529</v>
      </c>
      <c r="F731" s="10" t="s">
        <v>327</v>
      </c>
      <c r="G731" s="10" t="str" cm="1">
        <f t="array" ref="G731">+_xlfn.XLOOKUP(Tabla9[[#This Row],[ESPACIO ACADÉMICO DESTINO]]&amp;Tabla9[[#This Row],[PROGRAMA DESTINO]],Tabla49[ESPACIO ACADÉMICO DESTINO]&amp;Tabla49[PROGRAMA],Tabla49[CÓDIGO],"")</f>
        <v/>
      </c>
      <c r="H731" s="10"/>
      <c r="I731" s="14" t="str" cm="1">
        <f t="array" ref="I731">+_xlfn.XLOOKUP(Tabla9[[#This Row],[ESPACIO ACADÉMICO DESTINO]]&amp;Tabla9[[#This Row],[PROGRAMA DESTINO]],Tabla49[ESPACIO ACADÉMICO DESTINO]&amp;Tabla49[PROGRAMA],Tabla49[CRÉDITOS],"")</f>
        <v/>
      </c>
      <c r="J731" s="14"/>
      <c r="K731" s="10" t="s">
        <v>65</v>
      </c>
    </row>
    <row r="732" spans="3:11" ht="30" x14ac:dyDescent="0.25">
      <c r="C732" s="1" t="str">
        <f>_xlfn.XLOOKUP(Tabla9[[#This Row],[PROGRAMA ORIGEN]],PROGRAMAS_N[PROGRAMAS ORIGEN],PROGRAMAS_N[NIVEL],"")</f>
        <v>TÉCNICO</v>
      </c>
      <c r="D732" s="16" t="s">
        <v>98</v>
      </c>
      <c r="E732" s="14">
        <v>210303022</v>
      </c>
      <c r="F732" s="10" t="s">
        <v>917</v>
      </c>
      <c r="G732" s="10" cm="1">
        <f t="array" ref="G732">+_xlfn.XLOOKUP(Tabla9[[#This Row],[ESPACIO ACADÉMICO DESTINO]]&amp;Tabla9[[#This Row],[PROGRAMA DESTINO]],Tabla49[ESPACIO ACADÉMICO DESTINO]&amp;Tabla49[PROGRAMA],Tabla49[CÓDIGO],"")</f>
        <v>30381</v>
      </c>
      <c r="H732" s="10" t="s">
        <v>552</v>
      </c>
      <c r="I732" s="14" cm="1">
        <f t="array" ref="I732">+_xlfn.XLOOKUP(Tabla9[[#This Row],[ESPACIO ACADÉMICO DESTINO]]&amp;Tabla9[[#This Row],[PROGRAMA DESTINO]],Tabla49[ESPACIO ACADÉMICO DESTINO]&amp;Tabla49[PROGRAMA],Tabla49[CRÉDITOS],"")</f>
        <v>3</v>
      </c>
      <c r="J732" s="14">
        <v>4.5</v>
      </c>
      <c r="K732" s="10" t="s">
        <v>65</v>
      </c>
    </row>
    <row r="733" spans="3:11" ht="45" x14ac:dyDescent="0.25">
      <c r="C733" s="1" t="str">
        <f>_xlfn.XLOOKUP(Tabla9[[#This Row],[PROGRAMA ORIGEN]],PROGRAMAS_N[PROGRAMAS ORIGEN],PROGRAMAS_N[NIVEL],"")</f>
        <v>TÉCNICO</v>
      </c>
      <c r="D733" s="16" t="s">
        <v>98</v>
      </c>
      <c r="E733" s="14">
        <v>240201528</v>
      </c>
      <c r="F733" s="10" t="s">
        <v>448</v>
      </c>
      <c r="G733" s="10" t="str" cm="1">
        <f t="array" ref="G733">+_xlfn.XLOOKUP(Tabla9[[#This Row],[ESPACIO ACADÉMICO DESTINO]]&amp;Tabla9[[#This Row],[PROGRAMA DESTINO]],Tabla49[ESPACIO ACADÉMICO DESTINO]&amp;Tabla49[PROGRAMA],Tabla49[CÓDIGO],"")</f>
        <v/>
      </c>
      <c r="H733" s="10"/>
      <c r="I733" s="14" t="str" cm="1">
        <f t="array" ref="I733">+_xlfn.XLOOKUP(Tabla9[[#This Row],[ESPACIO ACADÉMICO DESTINO]]&amp;Tabla9[[#This Row],[PROGRAMA DESTINO]],Tabla49[ESPACIO ACADÉMICO DESTINO]&amp;Tabla49[PROGRAMA],Tabla49[CRÉDITOS],"")</f>
        <v/>
      </c>
      <c r="J733" s="14"/>
      <c r="K733" s="10" t="s">
        <v>65</v>
      </c>
    </row>
    <row r="734" spans="3:11" ht="30" x14ac:dyDescent="0.25">
      <c r="C734" s="1" t="str">
        <f>_xlfn.XLOOKUP(Tabla9[[#This Row],[PROGRAMA ORIGEN]],PROGRAMAS_N[PROGRAMAS ORIGEN],PROGRAMAS_N[NIVEL],"")</f>
        <v>TÉCNICO</v>
      </c>
      <c r="D734" s="16" t="s">
        <v>98</v>
      </c>
      <c r="E734" s="14">
        <v>210601027</v>
      </c>
      <c r="F734" s="10" t="s">
        <v>914</v>
      </c>
      <c r="G734" s="10" t="str" cm="1">
        <f t="array" ref="G734">+_xlfn.XLOOKUP(Tabla9[[#This Row],[ESPACIO ACADÉMICO DESTINO]]&amp;Tabla9[[#This Row],[PROGRAMA DESTINO]],Tabla49[ESPACIO ACADÉMICO DESTINO]&amp;Tabla49[PROGRAMA],Tabla49[CÓDIGO],"")</f>
        <v/>
      </c>
      <c r="H734" s="10"/>
      <c r="I734" s="14" t="str" cm="1">
        <f t="array" ref="I734">+_xlfn.XLOOKUP(Tabla9[[#This Row],[ESPACIO ACADÉMICO DESTINO]]&amp;Tabla9[[#This Row],[PROGRAMA DESTINO]],Tabla49[ESPACIO ACADÉMICO DESTINO]&amp;Tabla49[PROGRAMA],Tabla49[CRÉDITOS],"")</f>
        <v/>
      </c>
      <c r="J734" s="14"/>
      <c r="K734" s="10" t="s">
        <v>65</v>
      </c>
    </row>
    <row r="735" spans="3:11" ht="45" x14ac:dyDescent="0.25">
      <c r="C735" s="10" t="str">
        <f>_xlfn.XLOOKUP(Tabla9[[#This Row],[PROGRAMA ORIGEN]],PROGRAMAS_N[PROGRAMAS ORIGEN],PROGRAMAS_N[NIVEL],"")</f>
        <v>TÉCNICO</v>
      </c>
      <c r="D735" s="16" t="s">
        <v>91</v>
      </c>
      <c r="E735" s="14">
        <v>240201500</v>
      </c>
      <c r="F735" s="10" t="s">
        <v>144</v>
      </c>
      <c r="G735" s="10" cm="1">
        <f t="array" ref="G735">+_xlfn.XLOOKUP(Tabla9[[#This Row],[ESPACIO ACADÉMICO DESTINO]]&amp;Tabla9[[#This Row],[PROGRAMA DESTINO]],Tabla49[ESPACIO ACADÉMICO DESTINO]&amp;Tabla49[PROGRAMA],Tabla49[CÓDIGO],"")</f>
        <v>30391</v>
      </c>
      <c r="H735" s="10" t="s">
        <v>565</v>
      </c>
      <c r="I735" s="14" cm="1">
        <f t="array" ref="I735">+_xlfn.XLOOKUP(Tabla9[[#This Row],[ESPACIO ACADÉMICO DESTINO]]&amp;Tabla9[[#This Row],[PROGRAMA DESTINO]],Tabla49[ESPACIO ACADÉMICO DESTINO]&amp;Tabla49[PROGRAMA],Tabla49[CRÉDITOS],"")</f>
        <v>2</v>
      </c>
      <c r="J735" s="14">
        <v>4.5</v>
      </c>
      <c r="K735" s="10" t="s">
        <v>65</v>
      </c>
    </row>
    <row r="736" spans="3:11" ht="45" x14ac:dyDescent="0.25">
      <c r="C736" s="10" t="str">
        <f>_xlfn.XLOOKUP(Tabla9[[#This Row],[PROGRAMA ORIGEN]],PROGRAMAS_N[PROGRAMAS ORIGEN],PROGRAMAS_N[NIVEL],"")</f>
        <v>TÉCNICO</v>
      </c>
      <c r="D736" s="16" t="s">
        <v>91</v>
      </c>
      <c r="E736" s="14">
        <v>210301002</v>
      </c>
      <c r="F736" s="10" t="s">
        <v>854</v>
      </c>
      <c r="G736" s="10" cm="1">
        <f t="array" ref="G736">+_xlfn.XLOOKUP(Tabla9[[#This Row],[ESPACIO ACADÉMICO DESTINO]]&amp;Tabla9[[#This Row],[PROGRAMA DESTINO]],Tabla49[ESPACIO ACADÉMICO DESTINO]&amp;Tabla49[PROGRAMA],Tabla49[CÓDIGO],"")</f>
        <v>30396</v>
      </c>
      <c r="H736" s="10" t="s">
        <v>408</v>
      </c>
      <c r="I736" s="14" cm="1">
        <f t="array" ref="I736">+_xlfn.XLOOKUP(Tabla9[[#This Row],[ESPACIO ACADÉMICO DESTINO]]&amp;Tabla9[[#This Row],[PROGRAMA DESTINO]],Tabla49[ESPACIO ACADÉMICO DESTINO]&amp;Tabla49[PROGRAMA],Tabla49[CRÉDITOS],"")</f>
        <v>3</v>
      </c>
      <c r="J736" s="14">
        <v>4.5</v>
      </c>
      <c r="K736" s="10" t="s">
        <v>65</v>
      </c>
    </row>
    <row r="737" spans="3:11" ht="45" x14ac:dyDescent="0.25">
      <c r="C737" s="1" t="str">
        <f>_xlfn.XLOOKUP(Tabla9[[#This Row],[PROGRAMA ORIGEN]],PROGRAMAS_N[PROGRAMAS ORIGEN],PROGRAMAS_N[NIVEL],"")</f>
        <v>TÉCNICO</v>
      </c>
      <c r="D737" s="16" t="s">
        <v>91</v>
      </c>
      <c r="E737" s="14">
        <v>210301004</v>
      </c>
      <c r="F737" s="10" t="s">
        <v>855</v>
      </c>
      <c r="G737" s="10" t="str" cm="1">
        <f t="array" ref="G737">+_xlfn.XLOOKUP(Tabla9[[#This Row],[ESPACIO ACADÉMICO DESTINO]]&amp;Tabla9[[#This Row],[PROGRAMA DESTINO]],Tabla49[ESPACIO ACADÉMICO DESTINO]&amp;Tabla49[PROGRAMA],Tabla49[CÓDIGO],"")</f>
        <v/>
      </c>
      <c r="H737" s="10"/>
      <c r="I737" s="14" t="str" cm="1">
        <f t="array" ref="I737">+_xlfn.XLOOKUP(Tabla9[[#This Row],[ESPACIO ACADÉMICO DESTINO]]&amp;Tabla9[[#This Row],[PROGRAMA DESTINO]],Tabla49[ESPACIO ACADÉMICO DESTINO]&amp;Tabla49[PROGRAMA],Tabla49[CRÉDITOS],"")</f>
        <v/>
      </c>
      <c r="J737" s="14"/>
      <c r="K737" s="10" t="s">
        <v>65</v>
      </c>
    </row>
    <row r="738" spans="3:11" ht="45" x14ac:dyDescent="0.25">
      <c r="C738" s="1" t="str">
        <f>_xlfn.XLOOKUP(Tabla9[[#This Row],[PROGRAMA ORIGEN]],PROGRAMAS_N[PROGRAMAS ORIGEN],PROGRAMAS_N[NIVEL],"")</f>
        <v>TÉCNICO</v>
      </c>
      <c r="D738" s="16" t="s">
        <v>91</v>
      </c>
      <c r="E738" s="14">
        <v>210301016</v>
      </c>
      <c r="F738" s="10" t="s">
        <v>858</v>
      </c>
      <c r="G738" s="10" cm="1">
        <f t="array" ref="G738">+_xlfn.XLOOKUP(Tabla9[[#This Row],[ESPACIO ACADÉMICO DESTINO]]&amp;Tabla9[[#This Row],[PROGRAMA DESTINO]],Tabla49[ESPACIO ACADÉMICO DESTINO]&amp;Tabla49[PROGRAMA],Tabla49[CÓDIGO],"")</f>
        <v>30381</v>
      </c>
      <c r="H738" s="10" t="s">
        <v>552</v>
      </c>
      <c r="I738" s="14" cm="1">
        <f t="array" ref="I738">+_xlfn.XLOOKUP(Tabla9[[#This Row],[ESPACIO ACADÉMICO DESTINO]]&amp;Tabla9[[#This Row],[PROGRAMA DESTINO]],Tabla49[ESPACIO ACADÉMICO DESTINO]&amp;Tabla49[PROGRAMA],Tabla49[CRÉDITOS],"")</f>
        <v>3</v>
      </c>
      <c r="J738" s="14">
        <v>4.5</v>
      </c>
      <c r="K738" s="10" t="s">
        <v>65</v>
      </c>
    </row>
    <row r="739" spans="3:11" ht="45" x14ac:dyDescent="0.25">
      <c r="C739" s="1" t="str">
        <f>_xlfn.XLOOKUP(Tabla9[[#This Row],[PROGRAMA ORIGEN]],PROGRAMAS_N[PROGRAMAS ORIGEN],PROGRAMAS_N[NIVEL],"")</f>
        <v>TÉCNICO</v>
      </c>
      <c r="D739" s="16" t="s">
        <v>91</v>
      </c>
      <c r="E739" s="14">
        <v>210601012</v>
      </c>
      <c r="F739" s="10" t="s">
        <v>846</v>
      </c>
      <c r="G739" s="10" t="str" cm="1">
        <f t="array" ref="G739">+_xlfn.XLOOKUP(Tabla9[[#This Row],[ESPACIO ACADÉMICO DESTINO]]&amp;Tabla9[[#This Row],[PROGRAMA DESTINO]],Tabla49[ESPACIO ACADÉMICO DESTINO]&amp;Tabla49[PROGRAMA],Tabla49[CÓDIGO],"")</f>
        <v/>
      </c>
      <c r="H739" s="10"/>
      <c r="I739" s="14" t="str" cm="1">
        <f t="array" ref="I739">+_xlfn.XLOOKUP(Tabla9[[#This Row],[ESPACIO ACADÉMICO DESTINO]]&amp;Tabla9[[#This Row],[PROGRAMA DESTINO]],Tabla49[ESPACIO ACADÉMICO DESTINO]&amp;Tabla49[PROGRAMA],Tabla49[CRÉDITOS],"")</f>
        <v/>
      </c>
      <c r="J739" s="14"/>
      <c r="K739" s="10" t="s">
        <v>65</v>
      </c>
    </row>
    <row r="740" spans="3:11" ht="45" x14ac:dyDescent="0.25">
      <c r="C740" s="1" t="str">
        <f>_xlfn.XLOOKUP(Tabla9[[#This Row],[PROGRAMA ORIGEN]],PROGRAMAS_N[PROGRAMAS ORIGEN],PROGRAMAS_N[NIVEL],"")</f>
        <v>TÉCNICO</v>
      </c>
      <c r="D740" s="16" t="s">
        <v>91</v>
      </c>
      <c r="E740" s="14">
        <v>210301017</v>
      </c>
      <c r="F740" s="10" t="s">
        <v>862</v>
      </c>
      <c r="G740" s="10" t="str" cm="1">
        <f t="array" ref="G740">+_xlfn.XLOOKUP(Tabla9[[#This Row],[ESPACIO ACADÉMICO DESTINO]]&amp;Tabla9[[#This Row],[PROGRAMA DESTINO]],Tabla49[ESPACIO ACADÉMICO DESTINO]&amp;Tabla49[PROGRAMA],Tabla49[CÓDIGO],"")</f>
        <v/>
      </c>
      <c r="H740" s="10"/>
      <c r="I740" s="14" t="str" cm="1">
        <f t="array" ref="I740">+_xlfn.XLOOKUP(Tabla9[[#This Row],[ESPACIO ACADÉMICO DESTINO]]&amp;Tabla9[[#This Row],[PROGRAMA DESTINO]],Tabla49[ESPACIO ACADÉMICO DESTINO]&amp;Tabla49[PROGRAMA],Tabla49[CRÉDITOS],"")</f>
        <v/>
      </c>
      <c r="J740" s="14"/>
      <c r="K740" s="10" t="s">
        <v>65</v>
      </c>
    </row>
    <row r="741" spans="3:11" ht="30" x14ac:dyDescent="0.25">
      <c r="C741" s="10" t="str">
        <f>_xlfn.XLOOKUP(Tabla9[[#This Row],[PROGRAMA ORIGEN]],PROGRAMAS_N[PROGRAMAS ORIGEN],PROGRAMAS_N[NIVEL],"")</f>
        <v>TÉCNICO</v>
      </c>
      <c r="D741" s="16" t="s">
        <v>114</v>
      </c>
      <c r="E741" s="14">
        <v>240201500</v>
      </c>
      <c r="F741" s="10" t="s">
        <v>144</v>
      </c>
      <c r="G741" s="10" cm="1">
        <f t="array" ref="G741">+_xlfn.XLOOKUP(Tabla9[[#This Row],[ESPACIO ACADÉMICO DESTINO]]&amp;Tabla9[[#This Row],[PROGRAMA DESTINO]],Tabla49[ESPACIO ACADÉMICO DESTINO]&amp;Tabla49[PROGRAMA],Tabla49[CÓDIGO],"")</f>
        <v>30391</v>
      </c>
      <c r="H741" s="10" t="s">
        <v>565</v>
      </c>
      <c r="I741" s="14" cm="1">
        <f t="array" ref="I741">+_xlfn.XLOOKUP(Tabla9[[#This Row],[ESPACIO ACADÉMICO DESTINO]]&amp;Tabla9[[#This Row],[PROGRAMA DESTINO]],Tabla49[ESPACIO ACADÉMICO DESTINO]&amp;Tabla49[PROGRAMA],Tabla49[CRÉDITOS],"")</f>
        <v>2</v>
      </c>
      <c r="J741" s="14">
        <v>4.5</v>
      </c>
      <c r="K741" s="10" t="s">
        <v>65</v>
      </c>
    </row>
    <row r="742" spans="3:11" ht="30" x14ac:dyDescent="0.25">
      <c r="C742" s="10" t="str">
        <f>_xlfn.XLOOKUP(Tabla9[[#This Row],[PROGRAMA ORIGEN]],PROGRAMAS_N[PROGRAMAS ORIGEN],PROGRAMAS_N[NIVEL],"")</f>
        <v>TÉCNICO</v>
      </c>
      <c r="D742" s="16" t="s">
        <v>114</v>
      </c>
      <c r="E742" s="14">
        <v>210101008</v>
      </c>
      <c r="F742" s="10" t="s">
        <v>902</v>
      </c>
      <c r="G742" s="10" cm="1">
        <f t="array" ref="G742">+_xlfn.XLOOKUP(Tabla9[[#This Row],[ESPACIO ACADÉMICO DESTINO]]&amp;Tabla9[[#This Row],[PROGRAMA DESTINO]],Tabla49[ESPACIO ACADÉMICO DESTINO]&amp;Tabla49[PROGRAMA],Tabla49[CÓDIGO],"")</f>
        <v>30390</v>
      </c>
      <c r="H742" s="10" t="s">
        <v>153</v>
      </c>
      <c r="I742" s="14" cm="1">
        <f t="array" ref="I742">+_xlfn.XLOOKUP(Tabla9[[#This Row],[ESPACIO ACADÉMICO DESTINO]]&amp;Tabla9[[#This Row],[PROGRAMA DESTINO]],Tabla49[ESPACIO ACADÉMICO DESTINO]&amp;Tabla49[PROGRAMA],Tabla49[CRÉDITOS],"")</f>
        <v>3</v>
      </c>
      <c r="J742" s="14">
        <v>4.5</v>
      </c>
      <c r="K742" s="10" t="s">
        <v>65</v>
      </c>
    </row>
    <row r="743" spans="3:11" ht="30" x14ac:dyDescent="0.25">
      <c r="C743" s="1" t="str">
        <f>_xlfn.XLOOKUP(Tabla9[[#This Row],[PROGRAMA ORIGEN]],PROGRAMAS_N[PROGRAMAS ORIGEN],PROGRAMAS_N[NIVEL],"")</f>
        <v>TÉCNICO</v>
      </c>
      <c r="D743" s="16" t="s">
        <v>114</v>
      </c>
      <c r="E743" s="14">
        <v>210101016</v>
      </c>
      <c r="F743" s="10" t="s">
        <v>903</v>
      </c>
      <c r="G743" s="10" cm="1">
        <f t="array" ref="G743">+_xlfn.XLOOKUP(Tabla9[[#This Row],[ESPACIO ACADÉMICO DESTINO]]&amp;Tabla9[[#This Row],[PROGRAMA DESTINO]],Tabla49[ESPACIO ACADÉMICO DESTINO]&amp;Tabla49[PROGRAMA],Tabla49[CÓDIGO],"")</f>
        <v>30381</v>
      </c>
      <c r="H743" s="10" t="s">
        <v>552</v>
      </c>
      <c r="I743" s="14" cm="1">
        <f t="array" ref="I743">+_xlfn.XLOOKUP(Tabla9[[#This Row],[ESPACIO ACADÉMICO DESTINO]]&amp;Tabla9[[#This Row],[PROGRAMA DESTINO]],Tabla49[ESPACIO ACADÉMICO DESTINO]&amp;Tabla49[PROGRAMA],Tabla49[CRÉDITOS],"")</f>
        <v>3</v>
      </c>
      <c r="J743" s="14">
        <v>4.5</v>
      </c>
      <c r="K743" s="10" t="s">
        <v>65</v>
      </c>
    </row>
    <row r="744" spans="3:11" ht="30" x14ac:dyDescent="0.25">
      <c r="C744" s="1" t="str">
        <f>_xlfn.XLOOKUP(Tabla9[[#This Row],[PROGRAMA ORIGEN]],PROGRAMAS_N[PROGRAMAS ORIGEN],PROGRAMAS_N[NIVEL],"")</f>
        <v>TÉCNICO</v>
      </c>
      <c r="D744" s="16" t="s">
        <v>114</v>
      </c>
      <c r="E744" s="14">
        <v>210101033</v>
      </c>
      <c r="F744" s="10" t="s">
        <v>904</v>
      </c>
      <c r="G744" s="10" t="str" cm="1">
        <f t="array" ref="G744">+_xlfn.XLOOKUP(Tabla9[[#This Row],[ESPACIO ACADÉMICO DESTINO]]&amp;Tabla9[[#This Row],[PROGRAMA DESTINO]],Tabla49[ESPACIO ACADÉMICO DESTINO]&amp;Tabla49[PROGRAMA],Tabla49[CÓDIGO],"")</f>
        <v/>
      </c>
      <c r="H744" s="10"/>
      <c r="I744" s="14" t="str" cm="1">
        <f t="array" ref="I744">+_xlfn.XLOOKUP(Tabla9[[#This Row],[ESPACIO ACADÉMICO DESTINO]]&amp;Tabla9[[#This Row],[PROGRAMA DESTINO]],Tabla49[ESPACIO ACADÉMICO DESTINO]&amp;Tabla49[PROGRAMA],Tabla49[CRÉDITOS],"")</f>
        <v/>
      </c>
      <c r="J744" s="14"/>
      <c r="K744" s="10" t="s">
        <v>65</v>
      </c>
    </row>
    <row r="745" spans="3:11" ht="30" x14ac:dyDescent="0.25">
      <c r="C745" s="1" t="str">
        <f>_xlfn.XLOOKUP(Tabla9[[#This Row],[PROGRAMA ORIGEN]],PROGRAMAS_N[PROGRAMAS ORIGEN],PROGRAMAS_N[NIVEL],"")</f>
        <v>TÉCNICO</v>
      </c>
      <c r="D745" s="16" t="s">
        <v>114</v>
      </c>
      <c r="E745" s="14">
        <v>260101027</v>
      </c>
      <c r="F745" s="10" t="s">
        <v>519</v>
      </c>
      <c r="G745" s="10" t="str" cm="1">
        <f t="array" ref="G745">+_xlfn.XLOOKUP(Tabla9[[#This Row],[ESPACIO ACADÉMICO DESTINO]]&amp;Tabla9[[#This Row],[PROGRAMA DESTINO]],Tabla49[ESPACIO ACADÉMICO DESTINO]&amp;Tabla49[PROGRAMA],Tabla49[CÓDIGO],"")</f>
        <v/>
      </c>
      <c r="H745" s="10"/>
      <c r="I745" s="14" t="str" cm="1">
        <f t="array" ref="I745">+_xlfn.XLOOKUP(Tabla9[[#This Row],[ESPACIO ACADÉMICO DESTINO]]&amp;Tabla9[[#This Row],[PROGRAMA DESTINO]],Tabla49[ESPACIO ACADÉMICO DESTINO]&amp;Tabla49[PROGRAMA],Tabla49[CRÉDITOS],"")</f>
        <v/>
      </c>
      <c r="J745" s="14"/>
      <c r="K745" s="10" t="s">
        <v>65</v>
      </c>
    </row>
  </sheetData>
  <conditionalFormatting sqref="G3:G745">
    <cfRule type="duplicateValues" dxfId="31" priority="36"/>
  </conditionalFormatting>
  <conditionalFormatting sqref="H3:H745">
    <cfRule type="duplicateValues" dxfId="30" priority="35"/>
  </conditionalFormatting>
  <conditionalFormatting sqref="N3:N72">
    <cfRule type="duplicateValues" dxfId="29" priority="5"/>
  </conditionalFormatting>
  <conditionalFormatting sqref="P3:P72">
    <cfRule type="duplicateValues" dxfId="28" priority="4"/>
  </conditionalFormatting>
  <conditionalFormatting sqref="Y3:Y112">
    <cfRule type="duplicateValues" dxfId="27" priority="33" stopIfTrue="1"/>
  </conditionalFormatting>
  <conditionalFormatting sqref="Y3:Y196">
    <cfRule type="duplicateValues" dxfId="26" priority="11"/>
  </conditionalFormatting>
  <conditionalFormatting sqref="Y76:Y84">
    <cfRule type="duplicateValues" dxfId="25" priority="32" stopIfTrue="1"/>
  </conditionalFormatting>
  <conditionalFormatting sqref="Y85:Y90">
    <cfRule type="duplicateValues" dxfId="24" priority="31" stopIfTrue="1"/>
  </conditionalFormatting>
  <conditionalFormatting sqref="Y91">
    <cfRule type="duplicateValues" dxfId="23" priority="30" stopIfTrue="1"/>
  </conditionalFormatting>
  <conditionalFormatting sqref="Y92:Y93">
    <cfRule type="duplicateValues" dxfId="22" priority="29" stopIfTrue="1"/>
  </conditionalFormatting>
  <conditionalFormatting sqref="Y96">
    <cfRule type="duplicateValues" dxfId="21" priority="28" stopIfTrue="1"/>
  </conditionalFormatting>
  <conditionalFormatting sqref="Y98:Y101">
    <cfRule type="duplicateValues" dxfId="20" priority="27" stopIfTrue="1"/>
  </conditionalFormatting>
  <conditionalFormatting sqref="Y102">
    <cfRule type="duplicateValues" dxfId="19" priority="26" stopIfTrue="1"/>
  </conditionalFormatting>
  <conditionalFormatting sqref="Y113:Y116">
    <cfRule type="duplicateValues" dxfId="18" priority="25" stopIfTrue="1"/>
  </conditionalFormatting>
  <conditionalFormatting sqref="Y117:Y118">
    <cfRule type="duplicateValues" dxfId="17" priority="24" stopIfTrue="1"/>
  </conditionalFormatting>
  <conditionalFormatting sqref="Y119">
    <cfRule type="duplicateValues" dxfId="16" priority="23" stopIfTrue="1"/>
  </conditionalFormatting>
  <conditionalFormatting sqref="Y120">
    <cfRule type="duplicateValues" dxfId="15" priority="22" stopIfTrue="1"/>
  </conditionalFormatting>
  <conditionalFormatting sqref="Y122:Y123">
    <cfRule type="duplicateValues" dxfId="14" priority="21" stopIfTrue="1"/>
  </conditionalFormatting>
  <conditionalFormatting sqref="Y124">
    <cfRule type="duplicateValues" dxfId="13" priority="20" stopIfTrue="1"/>
  </conditionalFormatting>
  <conditionalFormatting sqref="Y125">
    <cfRule type="duplicateValues" dxfId="12" priority="19" stopIfTrue="1"/>
  </conditionalFormatting>
  <conditionalFormatting sqref="Y126">
    <cfRule type="duplicateValues" dxfId="11" priority="18" stopIfTrue="1"/>
  </conditionalFormatting>
  <conditionalFormatting sqref="Y128:Y132 Y134:Y135">
    <cfRule type="duplicateValues" dxfId="10" priority="17" stopIfTrue="1"/>
  </conditionalFormatting>
  <conditionalFormatting sqref="Y133">
    <cfRule type="duplicateValues" dxfId="9" priority="14" stopIfTrue="1"/>
  </conditionalFormatting>
  <conditionalFormatting sqref="Y136:Y140">
    <cfRule type="duplicateValues" dxfId="8" priority="16" stopIfTrue="1"/>
  </conditionalFormatting>
  <conditionalFormatting sqref="Y141:Y143">
    <cfRule type="duplicateValues" dxfId="7" priority="15" stopIfTrue="1"/>
  </conditionalFormatting>
  <conditionalFormatting sqref="Y148">
    <cfRule type="duplicateValues" dxfId="6" priority="13" stopIfTrue="1"/>
  </conditionalFormatting>
  <conditionalFormatting sqref="Y163">
    <cfRule type="duplicateValues" dxfId="5" priority="10"/>
  </conditionalFormatting>
  <conditionalFormatting sqref="Y181">
    <cfRule type="duplicateValues" dxfId="4" priority="9"/>
  </conditionalFormatting>
  <conditionalFormatting sqref="Y188:Y194">
    <cfRule type="duplicateValues" dxfId="3" priority="8"/>
  </conditionalFormatting>
  <conditionalFormatting sqref="Y195">
    <cfRule type="duplicateValues" dxfId="2" priority="7"/>
  </conditionalFormatting>
  <conditionalFormatting sqref="Y197">
    <cfRule type="duplicateValues" dxfId="1" priority="6"/>
  </conditionalFormatting>
  <conditionalFormatting sqref="Z3:Z627">
    <cfRule type="duplicateValues" dxfId="0" priority="34" stopIfTrue="1"/>
  </conditionalFormatting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0765-E58F-4201-97EB-BFC6BD6BCFF7}">
  <dimension ref="B2:T596"/>
  <sheetViews>
    <sheetView topLeftCell="D1" zoomScale="85" zoomScaleNormal="85" workbookViewId="0">
      <selection activeCell="B2" sqref="B2"/>
    </sheetView>
  </sheetViews>
  <sheetFormatPr baseColWidth="10" defaultColWidth="11.42578125" defaultRowHeight="15" x14ac:dyDescent="0.25"/>
  <cols>
    <col min="2" max="2" width="18.5703125" customWidth="1"/>
    <col min="3" max="3" width="10.85546875" customWidth="1"/>
    <col min="4" max="4" width="51.85546875" customWidth="1"/>
    <col min="5" max="5" width="11.42578125" customWidth="1"/>
    <col min="9" max="9" width="31.85546875" customWidth="1"/>
    <col min="19" max="19" width="55.7109375" bestFit="1" customWidth="1"/>
    <col min="20" max="20" width="18.7109375" bestFit="1" customWidth="1"/>
  </cols>
  <sheetData>
    <row r="2" spans="2:20" x14ac:dyDescent="0.25">
      <c r="B2" t="s">
        <v>44</v>
      </c>
      <c r="C2" t="s">
        <v>31</v>
      </c>
      <c r="D2" t="s">
        <v>33</v>
      </c>
      <c r="E2" t="s">
        <v>43</v>
      </c>
    </row>
    <row r="3" spans="2:20" x14ac:dyDescent="0.25">
      <c r="B3" s="54" t="s">
        <v>53</v>
      </c>
      <c r="C3" s="55">
        <v>15135</v>
      </c>
      <c r="D3" s="56" t="s">
        <v>56</v>
      </c>
      <c r="E3" s="57">
        <v>2</v>
      </c>
      <c r="I3" t="s">
        <v>919</v>
      </c>
      <c r="J3" t="str">
        <f>+UPPER(I3)</f>
        <v>COMUNICACIÓN ORAL Y ESCRITA</v>
      </c>
      <c r="M3" t="s">
        <v>53</v>
      </c>
      <c r="S3" s="102" t="s">
        <v>920</v>
      </c>
      <c r="T3" t="s">
        <v>921</v>
      </c>
    </row>
    <row r="4" spans="2:20" x14ac:dyDescent="0.25">
      <c r="B4" s="54" t="s">
        <v>53</v>
      </c>
      <c r="C4" s="58">
        <v>16570</v>
      </c>
      <c r="D4" s="59" t="s">
        <v>66</v>
      </c>
      <c r="E4" s="60">
        <v>2</v>
      </c>
      <c r="I4" t="s">
        <v>922</v>
      </c>
      <c r="J4" t="str">
        <f t="shared" ref="J4:J67" si="0">+UPPER(I4)</f>
        <v>INGLÉS I</v>
      </c>
      <c r="M4" t="s">
        <v>65</v>
      </c>
      <c r="S4" s="103" t="s">
        <v>53</v>
      </c>
      <c r="T4">
        <v>137</v>
      </c>
    </row>
    <row r="5" spans="2:20" x14ac:dyDescent="0.25">
      <c r="B5" s="54" t="s">
        <v>53</v>
      </c>
      <c r="C5" s="58">
        <v>48131</v>
      </c>
      <c r="D5" s="59" t="s">
        <v>74</v>
      </c>
      <c r="E5" s="60">
        <v>2</v>
      </c>
      <c r="I5" t="s">
        <v>923</v>
      </c>
      <c r="J5" t="str">
        <f t="shared" si="0"/>
        <v>MATEMÁTICAS I (CALCULO DIFERENCIAL)</v>
      </c>
      <c r="M5" t="s">
        <v>73</v>
      </c>
      <c r="S5" s="103" t="s">
        <v>65</v>
      </c>
      <c r="T5">
        <v>138</v>
      </c>
    </row>
    <row r="6" spans="2:20" x14ac:dyDescent="0.25">
      <c r="B6" s="54" t="s">
        <v>53</v>
      </c>
      <c r="C6" s="55">
        <v>48132</v>
      </c>
      <c r="D6" s="56" t="s">
        <v>52</v>
      </c>
      <c r="E6" s="57">
        <v>3</v>
      </c>
      <c r="I6" t="s">
        <v>924</v>
      </c>
      <c r="J6" t="str">
        <f t="shared" si="0"/>
        <v>FUNDAMENTOS AMBIENTALES</v>
      </c>
      <c r="M6" t="s">
        <v>80</v>
      </c>
      <c r="S6" s="103" t="s">
        <v>73</v>
      </c>
      <c r="T6">
        <v>151</v>
      </c>
    </row>
    <row r="7" spans="2:20" x14ac:dyDescent="0.25">
      <c r="B7" s="54" t="s">
        <v>53</v>
      </c>
      <c r="C7" s="58">
        <v>48133</v>
      </c>
      <c r="D7" s="59" t="s">
        <v>86</v>
      </c>
      <c r="E7" s="60">
        <v>3</v>
      </c>
      <c r="I7" t="s">
        <v>925</v>
      </c>
      <c r="J7" t="str">
        <f t="shared" si="0"/>
        <v>BASES QUÍMICAS DEL AMBIENTE</v>
      </c>
      <c r="M7" t="s">
        <v>85</v>
      </c>
      <c r="S7" s="103" t="s">
        <v>80</v>
      </c>
      <c r="T7">
        <v>144</v>
      </c>
    </row>
    <row r="8" spans="2:20" x14ac:dyDescent="0.25">
      <c r="B8" s="54" t="s">
        <v>53</v>
      </c>
      <c r="C8" s="61">
        <v>48134</v>
      </c>
      <c r="D8" s="62" t="s">
        <v>94</v>
      </c>
      <c r="E8" s="63">
        <v>3</v>
      </c>
      <c r="I8" t="s">
        <v>926</v>
      </c>
      <c r="J8" t="str">
        <f t="shared" si="0"/>
        <v>PENSAMIENTO ADMINISTRATIVO</v>
      </c>
      <c r="M8" t="s">
        <v>93</v>
      </c>
      <c r="S8" s="103" t="s">
        <v>85</v>
      </c>
      <c r="T8">
        <v>150</v>
      </c>
    </row>
    <row r="9" spans="2:20" x14ac:dyDescent="0.25">
      <c r="B9" s="54" t="s">
        <v>53</v>
      </c>
      <c r="C9" s="64">
        <v>95108</v>
      </c>
      <c r="D9" s="65" t="s">
        <v>101</v>
      </c>
      <c r="E9" s="66">
        <v>2</v>
      </c>
      <c r="I9" t="s">
        <v>927</v>
      </c>
      <c r="J9" t="str">
        <f t="shared" si="0"/>
        <v>FILOSOFÍA INSTITUCIONAL</v>
      </c>
      <c r="M9" t="s">
        <v>100</v>
      </c>
      <c r="S9" s="103" t="s">
        <v>93</v>
      </c>
      <c r="T9">
        <v>157</v>
      </c>
    </row>
    <row r="10" spans="2:20" x14ac:dyDescent="0.25">
      <c r="B10" s="54" t="s">
        <v>53</v>
      </c>
      <c r="C10" s="58">
        <v>16571</v>
      </c>
      <c r="D10" s="59" t="s">
        <v>108</v>
      </c>
      <c r="E10" s="60">
        <v>2</v>
      </c>
      <c r="I10" t="s">
        <v>928</v>
      </c>
      <c r="J10" t="str">
        <f t="shared" si="0"/>
        <v>INGLÉS II</v>
      </c>
      <c r="M10" t="s">
        <v>107</v>
      </c>
      <c r="S10" s="103" t="s">
        <v>100</v>
      </c>
      <c r="T10">
        <v>164</v>
      </c>
    </row>
    <row r="11" spans="2:20" x14ac:dyDescent="0.25">
      <c r="B11" s="54" t="s">
        <v>53</v>
      </c>
      <c r="C11" s="55">
        <v>16987</v>
      </c>
      <c r="D11" s="56" t="s">
        <v>62</v>
      </c>
      <c r="E11" s="57">
        <v>2</v>
      </c>
      <c r="I11" t="s">
        <v>929</v>
      </c>
      <c r="J11" t="str">
        <f t="shared" si="0"/>
        <v>CARTOGRAFÍA BÁSICA Y DIGITAL</v>
      </c>
      <c r="M11" t="s">
        <v>112</v>
      </c>
      <c r="S11" s="103" t="s">
        <v>107</v>
      </c>
      <c r="T11">
        <v>162</v>
      </c>
    </row>
    <row r="12" spans="2:20" x14ac:dyDescent="0.25">
      <c r="B12" s="54" t="s">
        <v>53</v>
      </c>
      <c r="C12" s="58">
        <v>48143</v>
      </c>
      <c r="D12" s="59" t="s">
        <v>117</v>
      </c>
      <c r="E12" s="60">
        <v>2</v>
      </c>
      <c r="I12" t="s">
        <v>930</v>
      </c>
      <c r="J12" t="str">
        <f t="shared" si="0"/>
        <v>MATEMÁTICAS II (CALCULO INTEGRAL)</v>
      </c>
      <c r="M12" t="s">
        <v>116</v>
      </c>
      <c r="S12" s="103" t="s">
        <v>112</v>
      </c>
      <c r="T12">
        <v>155</v>
      </c>
    </row>
    <row r="13" spans="2:20" x14ac:dyDescent="0.25">
      <c r="B13" s="54" t="s">
        <v>53</v>
      </c>
      <c r="C13" s="58">
        <v>48144</v>
      </c>
      <c r="D13" s="59" t="s">
        <v>121</v>
      </c>
      <c r="E13" s="60">
        <v>2</v>
      </c>
      <c r="I13" t="s">
        <v>931</v>
      </c>
      <c r="J13" t="str">
        <f t="shared" si="0"/>
        <v>PROCESO ADMINISTRATIVO</v>
      </c>
      <c r="S13" s="103" t="s">
        <v>116</v>
      </c>
      <c r="T13">
        <v>166</v>
      </c>
    </row>
    <row r="14" spans="2:20" x14ac:dyDescent="0.25">
      <c r="B14" s="54" t="s">
        <v>53</v>
      </c>
      <c r="C14" s="61">
        <v>48145</v>
      </c>
      <c r="D14" s="62" t="s">
        <v>124</v>
      </c>
      <c r="E14" s="63">
        <v>2</v>
      </c>
      <c r="I14" t="s">
        <v>932</v>
      </c>
      <c r="J14" t="str">
        <f t="shared" si="0"/>
        <v>CONTABILIDAD Y FINANZAS</v>
      </c>
      <c r="S14" s="103" t="s">
        <v>933</v>
      </c>
      <c r="T14">
        <v>1524</v>
      </c>
    </row>
    <row r="15" spans="2:20" x14ac:dyDescent="0.25">
      <c r="B15" s="54" t="s">
        <v>53</v>
      </c>
      <c r="C15" s="58">
        <v>48146</v>
      </c>
      <c r="D15" s="59" t="s">
        <v>128</v>
      </c>
      <c r="E15" s="60">
        <v>2</v>
      </c>
      <c r="I15" t="s">
        <v>934</v>
      </c>
      <c r="J15" t="str">
        <f t="shared" si="0"/>
        <v>OPCIONAL COMPLEMENTARIA</v>
      </c>
    </row>
    <row r="16" spans="2:20" x14ac:dyDescent="0.25">
      <c r="B16" s="54" t="s">
        <v>53</v>
      </c>
      <c r="C16" s="55">
        <v>73514</v>
      </c>
      <c r="D16" s="56" t="s">
        <v>90</v>
      </c>
      <c r="E16" s="57">
        <v>3</v>
      </c>
      <c r="I16" t="s">
        <v>935</v>
      </c>
      <c r="J16" t="str">
        <f t="shared" si="0"/>
        <v>LEGISLACIÓN AMBIENTAL</v>
      </c>
    </row>
    <row r="17" spans="2:10" x14ac:dyDescent="0.25">
      <c r="B17" s="54" t="s">
        <v>53</v>
      </c>
      <c r="C17" s="67">
        <v>95109</v>
      </c>
      <c r="D17" s="59" t="s">
        <v>136</v>
      </c>
      <c r="E17" s="68">
        <v>2</v>
      </c>
      <c r="I17" t="s">
        <v>936</v>
      </c>
      <c r="J17" t="str">
        <f t="shared" si="0"/>
        <v>ANTROPOLOGÍA</v>
      </c>
    </row>
    <row r="18" spans="2:10" x14ac:dyDescent="0.25">
      <c r="B18" s="54" t="s">
        <v>53</v>
      </c>
      <c r="C18" s="58">
        <v>16572</v>
      </c>
      <c r="D18" s="59" t="s">
        <v>139</v>
      </c>
      <c r="E18" s="60">
        <v>2</v>
      </c>
      <c r="I18" t="s">
        <v>937</v>
      </c>
      <c r="J18" t="str">
        <f t="shared" si="0"/>
        <v>INGLÉS III</v>
      </c>
    </row>
    <row r="19" spans="2:10" x14ac:dyDescent="0.25">
      <c r="B19" s="54" t="s">
        <v>53</v>
      </c>
      <c r="C19" s="58">
        <v>16664</v>
      </c>
      <c r="D19" s="59" t="s">
        <v>143</v>
      </c>
      <c r="E19" s="60">
        <v>2</v>
      </c>
      <c r="I19" t="s">
        <v>938</v>
      </c>
      <c r="J19" t="str">
        <f t="shared" si="0"/>
        <v>MICROECONOMÍA</v>
      </c>
    </row>
    <row r="20" spans="2:10" ht="28.5" x14ac:dyDescent="0.25">
      <c r="B20" s="54" t="s">
        <v>53</v>
      </c>
      <c r="C20" s="61">
        <v>16960</v>
      </c>
      <c r="D20" s="62" t="s">
        <v>147</v>
      </c>
      <c r="E20" s="63">
        <v>2</v>
      </c>
      <c r="I20" t="s">
        <v>939</v>
      </c>
      <c r="J20" t="str">
        <f t="shared" si="0"/>
        <v>SALUD AMBIENTAL Y PARTICIPACIÓN COMUNITARIA</v>
      </c>
    </row>
    <row r="21" spans="2:10" x14ac:dyDescent="0.25">
      <c r="B21" s="54" t="s">
        <v>53</v>
      </c>
      <c r="C21" s="58">
        <v>48147</v>
      </c>
      <c r="D21" s="59" t="s">
        <v>150</v>
      </c>
      <c r="E21" s="60">
        <v>2</v>
      </c>
      <c r="I21" t="s">
        <v>940</v>
      </c>
      <c r="J21" t="str">
        <f t="shared" si="0"/>
        <v>ESTADÍSTICA I (DESCRIPTIVA)</v>
      </c>
    </row>
    <row r="22" spans="2:10" x14ac:dyDescent="0.25">
      <c r="B22" s="54" t="s">
        <v>53</v>
      </c>
      <c r="C22" s="55">
        <v>48148</v>
      </c>
      <c r="D22" s="56" t="s">
        <v>70</v>
      </c>
      <c r="E22" s="57">
        <v>2</v>
      </c>
      <c r="I22" t="s">
        <v>941</v>
      </c>
      <c r="J22" t="str">
        <f t="shared" si="0"/>
        <v>FUNDAMENTOS DE ECOLOGÍA (AARN)</v>
      </c>
    </row>
    <row r="23" spans="2:10" x14ac:dyDescent="0.25">
      <c r="B23" s="54" t="s">
        <v>53</v>
      </c>
      <c r="C23" s="55">
        <v>48149</v>
      </c>
      <c r="D23" s="56" t="s">
        <v>77</v>
      </c>
      <c r="E23" s="57">
        <v>2</v>
      </c>
      <c r="I23" t="s">
        <v>942</v>
      </c>
      <c r="J23" t="str">
        <f t="shared" si="0"/>
        <v>INTRODUCCIÓN A CUENCAS HIDROGRÁFICAS</v>
      </c>
    </row>
    <row r="24" spans="2:10" x14ac:dyDescent="0.25">
      <c r="B24" s="54" t="s">
        <v>53</v>
      </c>
      <c r="C24" s="58">
        <v>48150</v>
      </c>
      <c r="D24" s="59" t="s">
        <v>153</v>
      </c>
      <c r="E24" s="60">
        <v>2</v>
      </c>
      <c r="I24" t="s">
        <v>943</v>
      </c>
      <c r="J24" t="str">
        <f t="shared" si="0"/>
        <v>COSTOS Y PRESUPUESTOS</v>
      </c>
    </row>
    <row r="25" spans="2:10" x14ac:dyDescent="0.25">
      <c r="B25" s="54" t="s">
        <v>53</v>
      </c>
      <c r="C25" s="58">
        <v>48151</v>
      </c>
      <c r="D25" s="59" t="s">
        <v>156</v>
      </c>
      <c r="E25" s="60">
        <v>2</v>
      </c>
      <c r="I25" t="s">
        <v>944</v>
      </c>
      <c r="J25" t="str">
        <f t="shared" si="0"/>
        <v>SISTEMAS DE INFORMACIÓN GEOGRÁFICA</v>
      </c>
    </row>
    <row r="26" spans="2:10" x14ac:dyDescent="0.25">
      <c r="B26" s="54" t="s">
        <v>53</v>
      </c>
      <c r="C26" s="58">
        <v>95110</v>
      </c>
      <c r="D26" s="59" t="s">
        <v>160</v>
      </c>
      <c r="E26" s="60">
        <v>2</v>
      </c>
      <c r="I26" t="s">
        <v>945</v>
      </c>
      <c r="J26" t="str">
        <f t="shared" si="0"/>
        <v>EPISTEMOLOGÍA</v>
      </c>
    </row>
    <row r="27" spans="2:10" x14ac:dyDescent="0.25">
      <c r="B27" s="54" t="s">
        <v>53</v>
      </c>
      <c r="C27" s="58">
        <v>16573</v>
      </c>
      <c r="D27" s="59" t="s">
        <v>163</v>
      </c>
      <c r="E27" s="60">
        <v>2</v>
      </c>
      <c r="I27" t="s">
        <v>946</v>
      </c>
      <c r="J27" t="str">
        <f t="shared" si="0"/>
        <v>INGLÉS IV</v>
      </c>
    </row>
    <row r="28" spans="2:10" x14ac:dyDescent="0.25">
      <c r="B28" s="54" t="s">
        <v>53</v>
      </c>
      <c r="C28" s="58">
        <v>16675</v>
      </c>
      <c r="D28" s="59" t="s">
        <v>165</v>
      </c>
      <c r="E28" s="60">
        <v>2</v>
      </c>
      <c r="I28" t="s">
        <v>947</v>
      </c>
      <c r="J28" t="str">
        <f t="shared" si="0"/>
        <v>MACROECONOMÍA</v>
      </c>
    </row>
    <row r="29" spans="2:10" x14ac:dyDescent="0.25">
      <c r="B29" s="54" t="s">
        <v>53</v>
      </c>
      <c r="C29" s="55">
        <v>48152</v>
      </c>
      <c r="D29" s="56" t="s">
        <v>133</v>
      </c>
      <c r="E29" s="57">
        <v>3</v>
      </c>
      <c r="I29" t="s">
        <v>948</v>
      </c>
      <c r="J29" t="str">
        <f t="shared" si="0"/>
        <v>RECURSOS BIÓTICOS</v>
      </c>
    </row>
    <row r="30" spans="2:10" x14ac:dyDescent="0.25">
      <c r="B30" s="54" t="s">
        <v>53</v>
      </c>
      <c r="C30" s="58">
        <v>48153</v>
      </c>
      <c r="D30" s="59" t="s">
        <v>171</v>
      </c>
      <c r="E30" s="60">
        <v>2</v>
      </c>
      <c r="I30" t="s">
        <v>949</v>
      </c>
      <c r="J30" t="str">
        <f t="shared" si="0"/>
        <v>CREATIVIDAD Y EMPRENDIMIENTO</v>
      </c>
    </row>
    <row r="31" spans="2:10" x14ac:dyDescent="0.25">
      <c r="B31" s="54" t="s">
        <v>53</v>
      </c>
      <c r="C31" s="58">
        <v>48154</v>
      </c>
      <c r="D31" s="59" t="s">
        <v>175</v>
      </c>
      <c r="E31" s="60">
        <v>2</v>
      </c>
      <c r="I31" t="s">
        <v>950</v>
      </c>
      <c r="J31" t="str">
        <f t="shared" si="0"/>
        <v>TRABAJO DE CAMPO I</v>
      </c>
    </row>
    <row r="32" spans="2:10" ht="28.5" x14ac:dyDescent="0.25">
      <c r="B32" s="54" t="s">
        <v>53</v>
      </c>
      <c r="C32" s="58">
        <v>48155</v>
      </c>
      <c r="D32" s="59" t="s">
        <v>177</v>
      </c>
      <c r="E32" s="60">
        <v>3</v>
      </c>
      <c r="I32" t="s">
        <v>951</v>
      </c>
      <c r="J32" t="str">
        <f t="shared" si="0"/>
        <v>POLÍTICAS Y MARCO JURÍDICO GLOBAL PARA EL DESARROLLO</v>
      </c>
    </row>
    <row r="33" spans="2:10" x14ac:dyDescent="0.25">
      <c r="B33" s="54" t="s">
        <v>53</v>
      </c>
      <c r="C33" s="55">
        <v>48156</v>
      </c>
      <c r="D33" s="56" t="s">
        <v>126</v>
      </c>
      <c r="E33" s="57">
        <v>2</v>
      </c>
      <c r="I33" t="s">
        <v>952</v>
      </c>
      <c r="J33" t="str">
        <f t="shared" si="0"/>
        <v>TALLER COMUNITARIO AMBIENTAL</v>
      </c>
    </row>
    <row r="34" spans="2:10" x14ac:dyDescent="0.25">
      <c r="B34" s="54" t="s">
        <v>53</v>
      </c>
      <c r="C34" s="58">
        <v>95111</v>
      </c>
      <c r="D34" s="59" t="s">
        <v>184</v>
      </c>
      <c r="E34" s="60">
        <v>2</v>
      </c>
      <c r="I34" t="s">
        <v>953</v>
      </c>
      <c r="J34" t="str">
        <f t="shared" si="0"/>
        <v>CULTURA TEOLÓGICA</v>
      </c>
    </row>
    <row r="35" spans="2:10" x14ac:dyDescent="0.25">
      <c r="B35" s="54" t="s">
        <v>53</v>
      </c>
      <c r="C35" s="55">
        <v>16617</v>
      </c>
      <c r="D35" s="56" t="s">
        <v>129</v>
      </c>
      <c r="E35" s="57">
        <v>3</v>
      </c>
      <c r="I35" t="s">
        <v>954</v>
      </c>
      <c r="J35" t="str">
        <f t="shared" si="0"/>
        <v>DESARROLLO SOSTENIBLE</v>
      </c>
    </row>
    <row r="36" spans="2:10" x14ac:dyDescent="0.25">
      <c r="B36" s="54" t="s">
        <v>53</v>
      </c>
      <c r="C36" s="55">
        <v>48157</v>
      </c>
      <c r="D36" s="56" t="s">
        <v>83</v>
      </c>
      <c r="E36" s="57">
        <v>2</v>
      </c>
      <c r="I36" t="s">
        <v>955</v>
      </c>
      <c r="J36" t="str">
        <f t="shared" si="0"/>
        <v>RECURSOS ABIÓTICO I</v>
      </c>
    </row>
    <row r="37" spans="2:10" x14ac:dyDescent="0.25">
      <c r="B37" s="54" t="s">
        <v>53</v>
      </c>
      <c r="C37" s="55">
        <v>48158</v>
      </c>
      <c r="D37" s="56" t="s">
        <v>119</v>
      </c>
      <c r="E37" s="57">
        <v>2</v>
      </c>
      <c r="I37" t="s">
        <v>956</v>
      </c>
      <c r="J37" t="str">
        <f t="shared" si="0"/>
        <v>RECURSOS ABIÓTICO II</v>
      </c>
    </row>
    <row r="38" spans="2:10" x14ac:dyDescent="0.25">
      <c r="B38" s="54" t="s">
        <v>53</v>
      </c>
      <c r="C38" s="58">
        <v>48159</v>
      </c>
      <c r="D38" s="59" t="s">
        <v>195</v>
      </c>
      <c r="E38" s="60">
        <v>2</v>
      </c>
      <c r="I38" t="s">
        <v>957</v>
      </c>
      <c r="J38" t="str">
        <f t="shared" si="0"/>
        <v>ESTRATEGIA Y PROSPECTIVA AMBIENTAL</v>
      </c>
    </row>
    <row r="39" spans="2:10" x14ac:dyDescent="0.25">
      <c r="B39" s="54" t="s">
        <v>53</v>
      </c>
      <c r="C39" s="58">
        <v>48160</v>
      </c>
      <c r="D39" s="59" t="s">
        <v>198</v>
      </c>
      <c r="E39" s="60">
        <v>2</v>
      </c>
      <c r="I39" t="s">
        <v>958</v>
      </c>
      <c r="J39" t="str">
        <f t="shared" si="0"/>
        <v>CAMBIO CLIMÁTICO</v>
      </c>
    </row>
    <row r="40" spans="2:10" ht="28.5" x14ac:dyDescent="0.25">
      <c r="B40" s="54" t="s">
        <v>53</v>
      </c>
      <c r="C40" s="55">
        <v>48161</v>
      </c>
      <c r="D40" s="56" t="s">
        <v>104</v>
      </c>
      <c r="E40" s="57">
        <v>3</v>
      </c>
      <c r="I40" t="s">
        <v>959</v>
      </c>
      <c r="J40" t="str">
        <f t="shared" si="0"/>
        <v>PROFUNDIZACIÓN I MANEJO DE ÁREAS NATURALES (16972)</v>
      </c>
    </row>
    <row r="41" spans="2:10" x14ac:dyDescent="0.25">
      <c r="B41" s="54" t="s">
        <v>53</v>
      </c>
      <c r="C41" s="58">
        <v>73633</v>
      </c>
      <c r="D41" s="59" t="s">
        <v>201</v>
      </c>
      <c r="E41" s="60">
        <v>2</v>
      </c>
      <c r="I41" t="s">
        <v>960</v>
      </c>
      <c r="J41" t="str">
        <f t="shared" si="0"/>
        <v>INGLÉS V</v>
      </c>
    </row>
    <row r="42" spans="2:10" x14ac:dyDescent="0.25">
      <c r="B42" s="54" t="s">
        <v>53</v>
      </c>
      <c r="C42" s="58">
        <v>95112</v>
      </c>
      <c r="D42" s="59" t="s">
        <v>202</v>
      </c>
      <c r="E42" s="60">
        <v>2</v>
      </c>
      <c r="I42" t="s">
        <v>961</v>
      </c>
      <c r="J42" t="str">
        <f t="shared" si="0"/>
        <v>FILOSOFÍA POLÍTICA</v>
      </c>
    </row>
    <row r="43" spans="2:10" x14ac:dyDescent="0.25">
      <c r="B43" s="54" t="s">
        <v>53</v>
      </c>
      <c r="C43" s="55">
        <v>16423</v>
      </c>
      <c r="D43" s="56" t="s">
        <v>110</v>
      </c>
      <c r="E43" s="57">
        <v>2</v>
      </c>
      <c r="I43" t="s">
        <v>962</v>
      </c>
      <c r="J43" t="str">
        <f t="shared" si="0"/>
        <v>EVALUACIÓN DE IMPACTO AMBIENTAL</v>
      </c>
    </row>
    <row r="44" spans="2:10" ht="28.5" x14ac:dyDescent="0.25">
      <c r="B44" s="54" t="s">
        <v>53</v>
      </c>
      <c r="C44" s="67">
        <v>48162</v>
      </c>
      <c r="D44" s="69" t="s">
        <v>200</v>
      </c>
      <c r="E44" s="70">
        <v>2</v>
      </c>
      <c r="I44" t="s">
        <v>963</v>
      </c>
      <c r="J44" t="str">
        <f t="shared" si="0"/>
        <v>RESPONSABILIDAD SOCIAL PARA EL DESARROLLO SOSTENIBLE</v>
      </c>
    </row>
    <row r="45" spans="2:10" x14ac:dyDescent="0.25">
      <c r="B45" s="54" t="s">
        <v>53</v>
      </c>
      <c r="C45" s="67">
        <v>48163</v>
      </c>
      <c r="D45" s="69" t="s">
        <v>179</v>
      </c>
      <c r="E45" s="70">
        <v>3</v>
      </c>
      <c r="I45" t="s">
        <v>964</v>
      </c>
      <c r="J45" t="str">
        <f t="shared" si="0"/>
        <v>SISTEMAS INTEGRADOS DE GESTIÓN</v>
      </c>
    </row>
    <row r="46" spans="2:10" x14ac:dyDescent="0.25">
      <c r="B46" s="54" t="s">
        <v>53</v>
      </c>
      <c r="C46" s="58">
        <v>48164</v>
      </c>
      <c r="D46" s="59" t="s">
        <v>207</v>
      </c>
      <c r="E46" s="60">
        <v>2</v>
      </c>
      <c r="I46" t="s">
        <v>965</v>
      </c>
      <c r="J46" t="str">
        <f t="shared" si="0"/>
        <v>TRABAJO DE CAMPO II</v>
      </c>
    </row>
    <row r="47" spans="2:10" ht="28.5" x14ac:dyDescent="0.25">
      <c r="B47" s="54" t="s">
        <v>53</v>
      </c>
      <c r="C47" s="58">
        <v>48165</v>
      </c>
      <c r="D47" s="59" t="s">
        <v>209</v>
      </c>
      <c r="E47" s="60">
        <v>2</v>
      </c>
      <c r="I47" t="s">
        <v>966</v>
      </c>
      <c r="J47" t="str">
        <f t="shared" si="0"/>
        <v>ECONOMÍA AMBIENTAL Y RECURSOS NATURALES</v>
      </c>
    </row>
    <row r="48" spans="2:10" ht="28.5" x14ac:dyDescent="0.25">
      <c r="B48" s="54" t="s">
        <v>53</v>
      </c>
      <c r="C48" s="55">
        <v>48166</v>
      </c>
      <c r="D48" s="56" t="s">
        <v>140</v>
      </c>
      <c r="E48" s="57">
        <v>3</v>
      </c>
      <c r="I48" t="s">
        <v>967</v>
      </c>
      <c r="J48" t="str">
        <f t="shared" si="0"/>
        <v>PROFUNDIZACIÓN II TECNOLOGÍAS LIMPIAS (16392)</v>
      </c>
    </row>
    <row r="49" spans="2:10" x14ac:dyDescent="0.25">
      <c r="B49" s="54" t="s">
        <v>53</v>
      </c>
      <c r="C49" s="58">
        <v>73638</v>
      </c>
      <c r="D49" s="59" t="s">
        <v>213</v>
      </c>
      <c r="E49" s="60">
        <v>2</v>
      </c>
      <c r="I49" t="s">
        <v>968</v>
      </c>
      <c r="J49" t="str">
        <f t="shared" si="0"/>
        <v>INGLÉS VI</v>
      </c>
    </row>
    <row r="50" spans="2:10" x14ac:dyDescent="0.25">
      <c r="B50" s="54" t="s">
        <v>53</v>
      </c>
      <c r="C50" s="58">
        <v>95113</v>
      </c>
      <c r="D50" s="59" t="s">
        <v>214</v>
      </c>
      <c r="E50" s="60">
        <v>2</v>
      </c>
      <c r="I50" t="s">
        <v>969</v>
      </c>
      <c r="J50" t="str">
        <f t="shared" si="0"/>
        <v>ÉTICA</v>
      </c>
    </row>
    <row r="51" spans="2:10" x14ac:dyDescent="0.25">
      <c r="B51" s="54" t="s">
        <v>53</v>
      </c>
      <c r="C51" s="58">
        <v>16395</v>
      </c>
      <c r="D51" s="59" t="s">
        <v>217</v>
      </c>
      <c r="E51" s="60">
        <v>3</v>
      </c>
      <c r="I51" t="s">
        <v>970</v>
      </c>
      <c r="J51" t="str">
        <f t="shared" si="0"/>
        <v>CATEDRA OPCIONAL</v>
      </c>
    </row>
    <row r="52" spans="2:10" x14ac:dyDescent="0.25">
      <c r="B52" s="54" t="s">
        <v>53</v>
      </c>
      <c r="C52" s="55">
        <v>48167</v>
      </c>
      <c r="D52" s="56" t="s">
        <v>97</v>
      </c>
      <c r="E52" s="57">
        <v>3</v>
      </c>
      <c r="I52" t="s">
        <v>971</v>
      </c>
      <c r="J52" t="str">
        <f t="shared" si="0"/>
        <v>GESTIÓN DE PROYECTOS AMBIENTALES</v>
      </c>
    </row>
    <row r="53" spans="2:10" x14ac:dyDescent="0.25">
      <c r="B53" s="54" t="s">
        <v>53</v>
      </c>
      <c r="C53" s="55">
        <v>48168</v>
      </c>
      <c r="D53" s="56" t="s">
        <v>122</v>
      </c>
      <c r="E53" s="57">
        <v>2</v>
      </c>
      <c r="I53" t="s">
        <v>972</v>
      </c>
      <c r="J53" t="str">
        <f t="shared" si="0"/>
        <v>GESTIÓN DEL RIESGO</v>
      </c>
    </row>
    <row r="54" spans="2:10" x14ac:dyDescent="0.25">
      <c r="B54" s="54" t="s">
        <v>53</v>
      </c>
      <c r="C54" s="58">
        <v>48169</v>
      </c>
      <c r="D54" s="59" t="s">
        <v>224</v>
      </c>
      <c r="E54" s="60">
        <v>2</v>
      </c>
      <c r="I54" t="s">
        <v>973</v>
      </c>
      <c r="J54" t="str">
        <f t="shared" si="0"/>
        <v>RENEWABLE ENERGY</v>
      </c>
    </row>
    <row r="55" spans="2:10" ht="42.75" x14ac:dyDescent="0.25">
      <c r="B55" s="54" t="s">
        <v>53</v>
      </c>
      <c r="C55" s="55">
        <v>48170</v>
      </c>
      <c r="D55" s="56" t="s">
        <v>113</v>
      </c>
      <c r="E55" s="57">
        <v>3</v>
      </c>
      <c r="I55" t="s">
        <v>974</v>
      </c>
      <c r="J55" t="str">
        <f t="shared" si="0"/>
        <v>PROFUNDIZACIÓN III PLANES DE ORDENAMIENTO TERRITORIAL Y PROSPECTIVA (48201)</v>
      </c>
    </row>
    <row r="56" spans="2:10" ht="28.5" x14ac:dyDescent="0.25">
      <c r="B56" s="54" t="s">
        <v>53</v>
      </c>
      <c r="C56" s="55">
        <v>48171</v>
      </c>
      <c r="D56" s="56" t="s">
        <v>137</v>
      </c>
      <c r="E56" s="57">
        <v>3</v>
      </c>
      <c r="I56" t="s">
        <v>975</v>
      </c>
      <c r="J56" t="str">
        <f t="shared" si="0"/>
        <v>PROFUNDIZACIÓN IV-CONSERVACIÓN Y RESTAURACIÓN ECOLÓGICA (48202)</v>
      </c>
    </row>
    <row r="57" spans="2:10" ht="28.5" x14ac:dyDescent="0.25">
      <c r="B57" s="54" t="s">
        <v>53</v>
      </c>
      <c r="C57" s="58">
        <v>48172</v>
      </c>
      <c r="D57" s="59" t="s">
        <v>168</v>
      </c>
      <c r="E57" s="60">
        <v>3</v>
      </c>
      <c r="I57" t="s">
        <v>976</v>
      </c>
      <c r="J57" t="str">
        <f t="shared" si="0"/>
        <v>PROFUNDIZACIÓN V MANEJO INTEGRADO DEL MEDIO AMBIENTE (73337)</v>
      </c>
    </row>
    <row r="58" spans="2:10" x14ac:dyDescent="0.25">
      <c r="B58" s="54" t="s">
        <v>53</v>
      </c>
      <c r="C58" s="58">
        <v>48173</v>
      </c>
      <c r="D58" s="59" t="s">
        <v>228</v>
      </c>
      <c r="E58" s="60">
        <v>12</v>
      </c>
      <c r="I58" t="s">
        <v>977</v>
      </c>
      <c r="J58" t="str">
        <f t="shared" si="0"/>
        <v>OPCIONES DE GRADO</v>
      </c>
    </row>
    <row r="59" spans="2:10" x14ac:dyDescent="0.25">
      <c r="B59" s="54" t="s">
        <v>73</v>
      </c>
      <c r="C59" s="55">
        <v>73249</v>
      </c>
      <c r="D59" s="56" t="s">
        <v>231</v>
      </c>
      <c r="E59" s="57">
        <v>3</v>
      </c>
      <c r="I59" t="s">
        <v>978</v>
      </c>
      <c r="J59" t="str">
        <f t="shared" si="0"/>
        <v>INTRODUCCIÓN A LA CONSTRUCCIÓN</v>
      </c>
    </row>
    <row r="60" spans="2:10" x14ac:dyDescent="0.25">
      <c r="B60" s="54" t="s">
        <v>73</v>
      </c>
      <c r="C60" s="67">
        <v>48241</v>
      </c>
      <c r="D60" s="69" t="s">
        <v>232</v>
      </c>
      <c r="E60" s="70">
        <v>3</v>
      </c>
      <c r="I60" t="s">
        <v>979</v>
      </c>
      <c r="J60" t="str">
        <f t="shared" si="0"/>
        <v>REPRESENTACIÓN GRÁFICA</v>
      </c>
    </row>
    <row r="61" spans="2:10" x14ac:dyDescent="0.25">
      <c r="B61" s="54" t="s">
        <v>73</v>
      </c>
      <c r="C61" s="55">
        <v>48242</v>
      </c>
      <c r="D61" s="56" t="s">
        <v>233</v>
      </c>
      <c r="E61" s="57">
        <v>3</v>
      </c>
      <c r="I61" t="s">
        <v>980</v>
      </c>
      <c r="J61" t="str">
        <f t="shared" si="0"/>
        <v>MATEMÁTICAS FUNDAMENTALES</v>
      </c>
    </row>
    <row r="62" spans="2:10" x14ac:dyDescent="0.25">
      <c r="B62" s="54" t="s">
        <v>73</v>
      </c>
      <c r="C62" s="67">
        <v>96112</v>
      </c>
      <c r="D62" s="69" t="s">
        <v>235</v>
      </c>
      <c r="E62" s="70">
        <v>3</v>
      </c>
      <c r="I62" t="s">
        <v>981</v>
      </c>
      <c r="J62" t="str">
        <f t="shared" si="0"/>
        <v>FÍSICA MECÁNICA</v>
      </c>
    </row>
    <row r="63" spans="2:10" x14ac:dyDescent="0.25">
      <c r="B63" s="54" t="s">
        <v>73</v>
      </c>
      <c r="C63" s="67">
        <v>16570</v>
      </c>
      <c r="D63" s="69" t="s">
        <v>66</v>
      </c>
      <c r="E63" s="70">
        <v>2</v>
      </c>
      <c r="I63" t="s">
        <v>922</v>
      </c>
      <c r="J63" t="str">
        <f t="shared" si="0"/>
        <v>INGLÉS I</v>
      </c>
    </row>
    <row r="64" spans="2:10" x14ac:dyDescent="0.25">
      <c r="B64" s="54" t="s">
        <v>73</v>
      </c>
      <c r="C64" s="55">
        <v>15135</v>
      </c>
      <c r="D64" s="56" t="s">
        <v>56</v>
      </c>
      <c r="E64" s="57">
        <v>2</v>
      </c>
      <c r="I64" t="s">
        <v>919</v>
      </c>
      <c r="J64" t="str">
        <f t="shared" si="0"/>
        <v>COMUNICACIÓN ORAL Y ESCRITA</v>
      </c>
    </row>
    <row r="65" spans="2:10" x14ac:dyDescent="0.25">
      <c r="B65" s="54" t="s">
        <v>73</v>
      </c>
      <c r="C65" s="67">
        <v>48243</v>
      </c>
      <c r="D65" s="69" t="s">
        <v>237</v>
      </c>
      <c r="E65" s="70">
        <v>3</v>
      </c>
      <c r="I65" t="s">
        <v>982</v>
      </c>
      <c r="J65" t="str">
        <f t="shared" si="0"/>
        <v>CÁTEDRA OPCIONAL INSTITUCIONAL</v>
      </c>
    </row>
    <row r="66" spans="2:10" x14ac:dyDescent="0.25">
      <c r="B66" s="54" t="s">
        <v>73</v>
      </c>
      <c r="C66" s="67">
        <v>73251</v>
      </c>
      <c r="D66" s="69" t="s">
        <v>239</v>
      </c>
      <c r="E66" s="70">
        <v>3</v>
      </c>
      <c r="I66" t="s">
        <v>983</v>
      </c>
      <c r="J66" t="str">
        <f t="shared" si="0"/>
        <v>ESTÁTICA</v>
      </c>
    </row>
    <row r="67" spans="2:10" x14ac:dyDescent="0.25">
      <c r="B67" s="54" t="s">
        <v>73</v>
      </c>
      <c r="C67" s="67">
        <v>96110</v>
      </c>
      <c r="D67" s="69" t="s">
        <v>240</v>
      </c>
      <c r="E67" s="70">
        <v>3</v>
      </c>
      <c r="I67" t="s">
        <v>984</v>
      </c>
      <c r="J67" t="str">
        <f t="shared" si="0"/>
        <v>CÁLCULO DIFERENCIAL</v>
      </c>
    </row>
    <row r="68" spans="2:10" x14ac:dyDescent="0.25">
      <c r="B68" s="54" t="s">
        <v>73</v>
      </c>
      <c r="C68" s="67">
        <v>96201</v>
      </c>
      <c r="D68" s="69" t="s">
        <v>242</v>
      </c>
      <c r="E68" s="70">
        <v>3</v>
      </c>
      <c r="I68" t="s">
        <v>985</v>
      </c>
      <c r="J68" t="str">
        <f t="shared" ref="J68:J131" si="1">+UPPER(I68)</f>
        <v>QUÍMICA GENERAL</v>
      </c>
    </row>
    <row r="69" spans="2:10" x14ac:dyDescent="0.25">
      <c r="B69" s="54" t="s">
        <v>73</v>
      </c>
      <c r="C69" s="67">
        <v>16571</v>
      </c>
      <c r="D69" s="69" t="s">
        <v>108</v>
      </c>
      <c r="E69" s="70">
        <v>2</v>
      </c>
      <c r="I69" t="s">
        <v>986</v>
      </c>
      <c r="J69" t="str">
        <f t="shared" si="1"/>
        <v>INGLÉS II</v>
      </c>
    </row>
    <row r="70" spans="2:10" x14ac:dyDescent="0.25">
      <c r="B70" s="54" t="s">
        <v>73</v>
      </c>
      <c r="C70" s="67">
        <v>95108</v>
      </c>
      <c r="D70" s="69" t="s">
        <v>101</v>
      </c>
      <c r="E70" s="70">
        <v>2</v>
      </c>
      <c r="I70" t="s">
        <v>927</v>
      </c>
      <c r="J70" t="str">
        <f t="shared" si="1"/>
        <v>FILOSOFÍA INSTITUCIONAL</v>
      </c>
    </row>
    <row r="71" spans="2:10" x14ac:dyDescent="0.25">
      <c r="B71" s="54" t="s">
        <v>73</v>
      </c>
      <c r="C71" s="55">
        <v>48245</v>
      </c>
      <c r="D71" s="56" t="s">
        <v>245</v>
      </c>
      <c r="E71" s="57">
        <v>3</v>
      </c>
      <c r="I71" t="s">
        <v>987</v>
      </c>
      <c r="J71" t="str">
        <f t="shared" si="1"/>
        <v>TOPOGRAFÍA Y CARTOGRAFÍA</v>
      </c>
    </row>
    <row r="72" spans="2:10" x14ac:dyDescent="0.25">
      <c r="B72" s="54" t="s">
        <v>73</v>
      </c>
      <c r="C72" s="67">
        <v>96111</v>
      </c>
      <c r="D72" s="69" t="s">
        <v>247</v>
      </c>
      <c r="E72" s="70">
        <v>3</v>
      </c>
      <c r="I72" t="s">
        <v>988</v>
      </c>
      <c r="J72" t="str">
        <f t="shared" si="1"/>
        <v>ÁLGEBRA LINEAL</v>
      </c>
    </row>
    <row r="73" spans="2:10" x14ac:dyDescent="0.25">
      <c r="B73" s="54" t="s">
        <v>73</v>
      </c>
      <c r="C73" s="67">
        <v>96113</v>
      </c>
      <c r="D73" s="69" t="s">
        <v>249</v>
      </c>
      <c r="E73" s="70">
        <v>3</v>
      </c>
      <c r="I73" t="s">
        <v>989</v>
      </c>
      <c r="J73" t="str">
        <f t="shared" si="1"/>
        <v>CÁLCULO INTEGRAL</v>
      </c>
    </row>
    <row r="74" spans="2:10" x14ac:dyDescent="0.25">
      <c r="B74" s="54" t="s">
        <v>73</v>
      </c>
      <c r="C74" s="67">
        <v>48244</v>
      </c>
      <c r="D74" s="69" t="s">
        <v>250</v>
      </c>
      <c r="E74" s="70">
        <v>3</v>
      </c>
      <c r="I74" t="s">
        <v>990</v>
      </c>
      <c r="J74" t="str">
        <f t="shared" si="1"/>
        <v>FÍSICA ELECTRICIDAD Y MAGNETISMO</v>
      </c>
    </row>
    <row r="75" spans="2:10" x14ac:dyDescent="0.25">
      <c r="B75" s="54" t="s">
        <v>73</v>
      </c>
      <c r="C75" s="67">
        <v>16572</v>
      </c>
      <c r="D75" s="69" t="s">
        <v>139</v>
      </c>
      <c r="E75" s="70">
        <v>2</v>
      </c>
      <c r="I75" t="s">
        <v>937</v>
      </c>
      <c r="J75" t="str">
        <f t="shared" si="1"/>
        <v>INGLÉS III</v>
      </c>
    </row>
    <row r="76" spans="2:10" x14ac:dyDescent="0.25">
      <c r="B76" s="54" t="s">
        <v>73</v>
      </c>
      <c r="C76" s="67">
        <v>95109</v>
      </c>
      <c r="D76" s="69" t="s">
        <v>136</v>
      </c>
      <c r="E76" s="70">
        <v>2</v>
      </c>
      <c r="I76" t="s">
        <v>936</v>
      </c>
      <c r="J76" t="str">
        <f t="shared" si="1"/>
        <v>ANTROPOLOGÍA</v>
      </c>
    </row>
    <row r="77" spans="2:10" x14ac:dyDescent="0.25">
      <c r="B77" s="54" t="s">
        <v>73</v>
      </c>
      <c r="C77" s="55">
        <v>48272</v>
      </c>
      <c r="D77" s="56" t="s">
        <v>253</v>
      </c>
      <c r="E77" s="57">
        <v>2</v>
      </c>
      <c r="I77" t="s">
        <v>991</v>
      </c>
      <c r="J77" t="str">
        <f t="shared" si="1"/>
        <v>PRÁCTICA INTEGRADA I</v>
      </c>
    </row>
    <row r="78" spans="2:10" x14ac:dyDescent="0.25">
      <c r="B78" s="54" t="s">
        <v>73</v>
      </c>
      <c r="C78" s="67">
        <v>73942</v>
      </c>
      <c r="D78" s="69" t="s">
        <v>254</v>
      </c>
      <c r="E78" s="70">
        <v>3</v>
      </c>
      <c r="I78" t="s">
        <v>992</v>
      </c>
      <c r="J78" t="str">
        <f t="shared" si="1"/>
        <v>MECÁNICA DE MATERIALES</v>
      </c>
    </row>
    <row r="79" spans="2:10" x14ac:dyDescent="0.25">
      <c r="B79" s="54" t="s">
        <v>73</v>
      </c>
      <c r="C79" s="67">
        <v>96303</v>
      </c>
      <c r="D79" s="69" t="s">
        <v>255</v>
      </c>
      <c r="E79" s="70">
        <v>3</v>
      </c>
      <c r="I79" t="s">
        <v>993</v>
      </c>
      <c r="J79" t="str">
        <f t="shared" si="1"/>
        <v>LÓGICA DE PROGRAMACIÓN</v>
      </c>
    </row>
    <row r="80" spans="2:10" x14ac:dyDescent="0.25">
      <c r="B80" s="54" t="s">
        <v>73</v>
      </c>
      <c r="C80" s="67">
        <v>96115</v>
      </c>
      <c r="D80" s="69" t="s">
        <v>256</v>
      </c>
      <c r="E80" s="70">
        <v>3</v>
      </c>
      <c r="I80" t="s">
        <v>994</v>
      </c>
      <c r="J80" t="str">
        <f t="shared" si="1"/>
        <v>CÁLCULO VECTORIAL</v>
      </c>
    </row>
    <row r="81" spans="2:10" x14ac:dyDescent="0.25">
      <c r="B81" s="54" t="s">
        <v>73</v>
      </c>
      <c r="C81" s="67">
        <v>16573</v>
      </c>
      <c r="D81" s="69" t="s">
        <v>163</v>
      </c>
      <c r="E81" s="70">
        <v>2</v>
      </c>
      <c r="I81" t="s">
        <v>946</v>
      </c>
      <c r="J81" t="str">
        <f t="shared" si="1"/>
        <v>INGLÉS IV</v>
      </c>
    </row>
    <row r="82" spans="2:10" x14ac:dyDescent="0.25">
      <c r="B82" s="54" t="s">
        <v>73</v>
      </c>
      <c r="C82" s="55">
        <v>48246</v>
      </c>
      <c r="D82" s="56" t="s">
        <v>258</v>
      </c>
      <c r="E82" s="57">
        <v>3</v>
      </c>
      <c r="I82" t="s">
        <v>995</v>
      </c>
      <c r="J82" t="str">
        <f t="shared" si="1"/>
        <v>PROCESOS CONSTRUCTIVOS</v>
      </c>
    </row>
    <row r="83" spans="2:10" x14ac:dyDescent="0.25">
      <c r="B83" s="54" t="s">
        <v>73</v>
      </c>
      <c r="C83" s="55">
        <v>48247</v>
      </c>
      <c r="D83" s="56" t="s">
        <v>259</v>
      </c>
      <c r="E83" s="57">
        <v>3</v>
      </c>
      <c r="I83" t="s">
        <v>996</v>
      </c>
      <c r="J83" t="str">
        <f t="shared" si="1"/>
        <v>MATERIALES DE CONSTRUCCIÓN</v>
      </c>
    </row>
    <row r="84" spans="2:10" x14ac:dyDescent="0.25">
      <c r="B84" s="54" t="s">
        <v>73</v>
      </c>
      <c r="C84" s="67">
        <v>48248</v>
      </c>
      <c r="D84" s="69" t="s">
        <v>260</v>
      </c>
      <c r="E84" s="70">
        <v>3</v>
      </c>
      <c r="I84" t="s">
        <v>997</v>
      </c>
      <c r="J84" t="str">
        <f t="shared" si="1"/>
        <v>MECÁNICA DE SUELOS</v>
      </c>
    </row>
    <row r="85" spans="2:10" x14ac:dyDescent="0.25">
      <c r="B85" s="54" t="s">
        <v>73</v>
      </c>
      <c r="C85" s="67">
        <v>96117</v>
      </c>
      <c r="D85" s="69" t="s">
        <v>261</v>
      </c>
      <c r="E85" s="70">
        <v>3</v>
      </c>
      <c r="I85" t="s">
        <v>998</v>
      </c>
      <c r="J85" t="str">
        <f t="shared" si="1"/>
        <v>ECUACIONES DIFERENCIALES</v>
      </c>
    </row>
    <row r="86" spans="2:10" x14ac:dyDescent="0.25">
      <c r="B86" s="54" t="s">
        <v>73</v>
      </c>
      <c r="C86" s="67">
        <v>16806</v>
      </c>
      <c r="D86" s="69" t="s">
        <v>262</v>
      </c>
      <c r="E86" s="70">
        <v>2</v>
      </c>
      <c r="I86" t="s">
        <v>999</v>
      </c>
      <c r="J86" t="str">
        <f t="shared" si="1"/>
        <v>PROBABILIDAD Y ESTADÍSTICA</v>
      </c>
    </row>
    <row r="87" spans="2:10" x14ac:dyDescent="0.25">
      <c r="B87" s="54" t="s">
        <v>73</v>
      </c>
      <c r="C87" s="67">
        <v>73633</v>
      </c>
      <c r="D87" s="69" t="s">
        <v>201</v>
      </c>
      <c r="E87" s="70">
        <v>2</v>
      </c>
      <c r="I87" t="s">
        <v>960</v>
      </c>
      <c r="J87" t="str">
        <f t="shared" si="1"/>
        <v>INGLÉS V</v>
      </c>
    </row>
    <row r="88" spans="2:10" x14ac:dyDescent="0.25">
      <c r="B88" s="54" t="s">
        <v>73</v>
      </c>
      <c r="C88" s="55">
        <v>48249</v>
      </c>
      <c r="D88" s="56" t="s">
        <v>263</v>
      </c>
      <c r="E88" s="57">
        <v>3</v>
      </c>
      <c r="I88" t="s">
        <v>1000</v>
      </c>
      <c r="J88" t="str">
        <f t="shared" si="1"/>
        <v>PRESUPUESTOS Y PROGRAMACIÓN DE OBRAS</v>
      </c>
    </row>
    <row r="89" spans="2:10" x14ac:dyDescent="0.25">
      <c r="B89" s="54" t="s">
        <v>73</v>
      </c>
      <c r="C89" s="67">
        <v>48250</v>
      </c>
      <c r="D89" s="69" t="s">
        <v>264</v>
      </c>
      <c r="E89" s="70">
        <v>3</v>
      </c>
      <c r="I89" t="s">
        <v>1001</v>
      </c>
      <c r="J89" t="str">
        <f t="shared" si="1"/>
        <v>CONSTRUCCIÓN Y CONSERVACIÓN DE VÍAS</v>
      </c>
    </row>
    <row r="90" spans="2:10" x14ac:dyDescent="0.25">
      <c r="B90" s="54" t="s">
        <v>73</v>
      </c>
      <c r="C90" s="67">
        <v>48251</v>
      </c>
      <c r="D90" s="69" t="s">
        <v>265</v>
      </c>
      <c r="E90" s="70">
        <v>3</v>
      </c>
      <c r="I90" t="s">
        <v>1002</v>
      </c>
      <c r="J90" t="str">
        <f t="shared" si="1"/>
        <v>CONSTRUCCIÓN DE OBRAS EN CONCRETO</v>
      </c>
    </row>
    <row r="91" spans="2:10" x14ac:dyDescent="0.25">
      <c r="B91" s="54" t="s">
        <v>73</v>
      </c>
      <c r="C91" s="67">
        <v>73943</v>
      </c>
      <c r="D91" s="69" t="s">
        <v>266</v>
      </c>
      <c r="E91" s="70">
        <v>3</v>
      </c>
      <c r="I91" t="s">
        <v>1003</v>
      </c>
      <c r="J91" t="str">
        <f t="shared" si="1"/>
        <v>ANÁLISIS ESTRUCTURAL</v>
      </c>
    </row>
    <row r="92" spans="2:10" x14ac:dyDescent="0.25">
      <c r="B92" s="54" t="s">
        <v>73</v>
      </c>
      <c r="C92" s="67">
        <v>73638</v>
      </c>
      <c r="D92" s="69" t="s">
        <v>213</v>
      </c>
      <c r="E92" s="70">
        <v>2</v>
      </c>
      <c r="I92" t="s">
        <v>968</v>
      </c>
      <c r="J92" t="str">
        <f t="shared" si="1"/>
        <v>INGLÉS VI</v>
      </c>
    </row>
    <row r="93" spans="2:10" x14ac:dyDescent="0.25">
      <c r="B93" s="54" t="s">
        <v>73</v>
      </c>
      <c r="C93" s="67">
        <v>95110</v>
      </c>
      <c r="D93" s="69" t="s">
        <v>160</v>
      </c>
      <c r="E93" s="70">
        <v>2</v>
      </c>
      <c r="I93" t="s">
        <v>945</v>
      </c>
      <c r="J93" t="str">
        <f t="shared" si="1"/>
        <v>EPISTEMOLOGÍA</v>
      </c>
    </row>
    <row r="94" spans="2:10" x14ac:dyDescent="0.25">
      <c r="B94" s="54" t="s">
        <v>73</v>
      </c>
      <c r="C94" s="67">
        <v>48252</v>
      </c>
      <c r="D94" s="69" t="s">
        <v>271</v>
      </c>
      <c r="E94" s="70">
        <v>2</v>
      </c>
      <c r="I94" t="s">
        <v>1004</v>
      </c>
      <c r="J94" t="str">
        <f t="shared" si="1"/>
        <v>PROYECTO OPCIONAL INVESTIGATIVO</v>
      </c>
    </row>
    <row r="95" spans="2:10" x14ac:dyDescent="0.25">
      <c r="B95" s="54" t="s">
        <v>73</v>
      </c>
      <c r="C95" s="67">
        <v>73952</v>
      </c>
      <c r="D95" s="69" t="s">
        <v>272</v>
      </c>
      <c r="E95" s="70">
        <v>3</v>
      </c>
      <c r="I95" t="s">
        <v>1005</v>
      </c>
      <c r="J95" t="str">
        <f t="shared" si="1"/>
        <v>DIRECCIÓN Y CONTROL DE OBRA</v>
      </c>
    </row>
    <row r="96" spans="2:10" ht="28.5" x14ac:dyDescent="0.25">
      <c r="B96" s="54" t="s">
        <v>73</v>
      </c>
      <c r="C96" s="67">
        <v>48253</v>
      </c>
      <c r="D96" s="69" t="s">
        <v>275</v>
      </c>
      <c r="E96" s="70">
        <v>2</v>
      </c>
      <c r="I96" t="s">
        <v>1006</v>
      </c>
      <c r="J96" t="str">
        <f t="shared" si="1"/>
        <v>CONSTRUCCIÓN DE SISTEMAS INDUSTRIALIZADOS</v>
      </c>
    </row>
    <row r="97" spans="2:10" ht="28.5" x14ac:dyDescent="0.25">
      <c r="B97" s="54" t="s">
        <v>73</v>
      </c>
      <c r="C97" s="67">
        <v>48254</v>
      </c>
      <c r="D97" s="69" t="s">
        <v>277</v>
      </c>
      <c r="E97" s="70">
        <v>2</v>
      </c>
      <c r="I97" t="s">
        <v>1007</v>
      </c>
      <c r="J97" t="str">
        <f t="shared" si="1"/>
        <v>CONSTRUCCIÓN DE OBRAS VIALES COMPLEMENTARIAS</v>
      </c>
    </row>
    <row r="98" spans="2:10" x14ac:dyDescent="0.25">
      <c r="B98" s="54" t="s">
        <v>73</v>
      </c>
      <c r="C98" s="67">
        <v>48255</v>
      </c>
      <c r="D98" s="69" t="s">
        <v>279</v>
      </c>
      <c r="E98" s="70">
        <v>3</v>
      </c>
      <c r="I98" t="s">
        <v>1008</v>
      </c>
      <c r="J98" t="str">
        <f t="shared" si="1"/>
        <v>CONSTRUCCIÓN DE FUNDACIONES</v>
      </c>
    </row>
    <row r="99" spans="2:10" x14ac:dyDescent="0.25">
      <c r="B99" s="54" t="s">
        <v>73</v>
      </c>
      <c r="C99" s="67">
        <v>95111</v>
      </c>
      <c r="D99" s="69" t="s">
        <v>184</v>
      </c>
      <c r="E99" s="70">
        <v>2</v>
      </c>
      <c r="I99" t="s">
        <v>953</v>
      </c>
      <c r="J99" t="str">
        <f t="shared" si="1"/>
        <v>CULTURA TEOLÓGICA</v>
      </c>
    </row>
    <row r="100" spans="2:10" x14ac:dyDescent="0.25">
      <c r="B100" s="54" t="s">
        <v>73</v>
      </c>
      <c r="C100" s="67">
        <v>48256</v>
      </c>
      <c r="D100" s="69" t="s">
        <v>281</v>
      </c>
      <c r="E100" s="70">
        <v>2</v>
      </c>
      <c r="I100" t="s">
        <v>1009</v>
      </c>
      <c r="J100" t="str">
        <f t="shared" si="1"/>
        <v>MERCADEO INMOBILIARIO</v>
      </c>
    </row>
    <row r="101" spans="2:10" x14ac:dyDescent="0.25">
      <c r="B101" s="54" t="s">
        <v>73</v>
      </c>
      <c r="C101" s="67">
        <v>48273</v>
      </c>
      <c r="D101" s="69" t="s">
        <v>284</v>
      </c>
      <c r="E101" s="70">
        <v>3</v>
      </c>
      <c r="I101" t="s">
        <v>1010</v>
      </c>
      <c r="J101" t="str">
        <f t="shared" si="1"/>
        <v>PRÁCTICA INTEGRADA II</v>
      </c>
    </row>
    <row r="102" spans="2:10" x14ac:dyDescent="0.25">
      <c r="B102" s="54" t="s">
        <v>73</v>
      </c>
      <c r="C102" s="67">
        <v>48257</v>
      </c>
      <c r="D102" s="69" t="s">
        <v>286</v>
      </c>
      <c r="E102" s="70">
        <v>2</v>
      </c>
      <c r="I102" t="s">
        <v>1011</v>
      </c>
      <c r="J102" t="str">
        <f t="shared" si="1"/>
        <v>CONSTRUCCIÓN DE INSTALACIONES</v>
      </c>
    </row>
    <row r="103" spans="2:10" ht="28.5" x14ac:dyDescent="0.25">
      <c r="B103" s="54" t="s">
        <v>73</v>
      </c>
      <c r="C103" s="67">
        <v>48258</v>
      </c>
      <c r="D103" s="69" t="s">
        <v>288</v>
      </c>
      <c r="E103" s="70">
        <v>3</v>
      </c>
      <c r="I103" t="s">
        <v>1012</v>
      </c>
      <c r="J103" t="str">
        <f t="shared" si="1"/>
        <v>CONSTRUCCIÓN DE ACUEDUCTO Y ALCANTARILLADO</v>
      </c>
    </row>
    <row r="104" spans="2:10" ht="28.5" x14ac:dyDescent="0.25">
      <c r="B104" s="54" t="s">
        <v>73</v>
      </c>
      <c r="C104" s="67">
        <v>48259</v>
      </c>
      <c r="D104" s="69" t="s">
        <v>291</v>
      </c>
      <c r="E104" s="70">
        <v>2</v>
      </c>
      <c r="I104" t="s">
        <v>1013</v>
      </c>
      <c r="J104" t="str">
        <f t="shared" si="1"/>
        <v>CONSTRUCCIÓN DE ELEMENTOS NO ESTRUCTURALES</v>
      </c>
    </row>
    <row r="105" spans="2:10" x14ac:dyDescent="0.25">
      <c r="B105" s="54" t="s">
        <v>73</v>
      </c>
      <c r="C105" s="67">
        <v>95112</v>
      </c>
      <c r="D105" s="69" t="s">
        <v>202</v>
      </c>
      <c r="E105" s="70">
        <v>2</v>
      </c>
      <c r="I105" t="s">
        <v>961</v>
      </c>
      <c r="J105" t="str">
        <f t="shared" si="1"/>
        <v>FILOSOFÍA POLÍTICA</v>
      </c>
    </row>
    <row r="106" spans="2:10" x14ac:dyDescent="0.25">
      <c r="B106" s="54" t="s">
        <v>73</v>
      </c>
      <c r="C106" s="67">
        <v>73632</v>
      </c>
      <c r="D106" s="69" t="s">
        <v>295</v>
      </c>
      <c r="E106" s="70">
        <v>3</v>
      </c>
      <c r="I106" t="s">
        <v>1014</v>
      </c>
      <c r="J106" t="str">
        <f t="shared" si="1"/>
        <v>CÁTEDRA OPCIONAL COMPLEMENTARIA</v>
      </c>
    </row>
    <row r="107" spans="2:10" x14ac:dyDescent="0.25">
      <c r="B107" s="54" t="s">
        <v>73</v>
      </c>
      <c r="C107" s="67">
        <v>73948</v>
      </c>
      <c r="D107" s="69" t="s">
        <v>297</v>
      </c>
      <c r="E107" s="70">
        <v>3</v>
      </c>
      <c r="I107" t="s">
        <v>1015</v>
      </c>
      <c r="J107" t="str">
        <f t="shared" si="1"/>
        <v>FORMULACIÓN Y EVALUACIÓN DE PROYECTOS</v>
      </c>
    </row>
    <row r="108" spans="2:10" ht="28.5" x14ac:dyDescent="0.25">
      <c r="B108" s="54" t="s">
        <v>73</v>
      </c>
      <c r="C108" s="55">
        <v>48260</v>
      </c>
      <c r="D108" s="56" t="s">
        <v>300</v>
      </c>
      <c r="E108" s="57">
        <v>3</v>
      </c>
      <c r="I108" t="s">
        <v>1016</v>
      </c>
      <c r="J108" t="str">
        <f t="shared" si="1"/>
        <v>ENVIRONMENTAL MANAGEMENT AND SUSTAINABLE DEVELOPMENT</v>
      </c>
    </row>
    <row r="109" spans="2:10" x14ac:dyDescent="0.25">
      <c r="B109" s="54" t="s">
        <v>73</v>
      </c>
      <c r="C109" s="67">
        <v>95113</v>
      </c>
      <c r="D109" s="69" t="s">
        <v>214</v>
      </c>
      <c r="E109" s="70">
        <v>2</v>
      </c>
      <c r="I109" t="s">
        <v>969</v>
      </c>
      <c r="J109" t="str">
        <f t="shared" si="1"/>
        <v>ÉTICA</v>
      </c>
    </row>
    <row r="110" spans="2:10" x14ac:dyDescent="0.25">
      <c r="B110" s="54" t="s">
        <v>73</v>
      </c>
      <c r="C110" s="67">
        <v>48161</v>
      </c>
      <c r="D110" s="69" t="s">
        <v>302</v>
      </c>
      <c r="E110" s="70">
        <v>3</v>
      </c>
      <c r="I110" t="s">
        <v>1017</v>
      </c>
      <c r="J110" t="str">
        <f t="shared" si="1"/>
        <v>PROFUNDIZACIÓN I</v>
      </c>
    </row>
    <row r="111" spans="2:10" x14ac:dyDescent="0.25">
      <c r="B111" s="54" t="s">
        <v>73</v>
      </c>
      <c r="C111" s="67">
        <v>48166</v>
      </c>
      <c r="D111" s="69" t="s">
        <v>304</v>
      </c>
      <c r="E111" s="70">
        <v>3</v>
      </c>
      <c r="I111" t="s">
        <v>1018</v>
      </c>
      <c r="J111" t="str">
        <f t="shared" si="1"/>
        <v>PROFUNDIZACIÓN II</v>
      </c>
    </row>
    <row r="112" spans="2:10" x14ac:dyDescent="0.25">
      <c r="B112" s="54" t="s">
        <v>73</v>
      </c>
      <c r="C112" s="67">
        <v>73226</v>
      </c>
      <c r="D112" s="69" t="s">
        <v>307</v>
      </c>
      <c r="E112" s="70">
        <v>4</v>
      </c>
      <c r="I112" t="s">
        <v>1019</v>
      </c>
      <c r="J112" t="str">
        <f t="shared" si="1"/>
        <v>OPCIÓN DE GRADO</v>
      </c>
    </row>
    <row r="113" spans="2:10" x14ac:dyDescent="0.25">
      <c r="B113" s="54" t="s">
        <v>73</v>
      </c>
      <c r="C113" s="67">
        <v>48274</v>
      </c>
      <c r="D113" s="69" t="s">
        <v>309</v>
      </c>
      <c r="E113" s="70">
        <v>3</v>
      </c>
      <c r="I113" t="s">
        <v>1020</v>
      </c>
      <c r="J113" t="str">
        <f t="shared" si="1"/>
        <v>PRÁCTICA INTEGRADA III</v>
      </c>
    </row>
    <row r="114" spans="2:10" x14ac:dyDescent="0.25">
      <c r="B114" s="54" t="s">
        <v>73</v>
      </c>
      <c r="C114" s="67">
        <v>48170</v>
      </c>
      <c r="D114" s="69" t="s">
        <v>311</v>
      </c>
      <c r="E114" s="70">
        <v>3</v>
      </c>
      <c r="I114" t="s">
        <v>1021</v>
      </c>
      <c r="J114" t="str">
        <f t="shared" si="1"/>
        <v>PROFUNDIZACIÓN III</v>
      </c>
    </row>
    <row r="115" spans="2:10" ht="15.75" thickBot="1" x14ac:dyDescent="0.3">
      <c r="B115" s="54" t="s">
        <v>73</v>
      </c>
      <c r="C115" s="67">
        <v>48171</v>
      </c>
      <c r="D115" s="69" t="s">
        <v>313</v>
      </c>
      <c r="E115" s="70">
        <v>3</v>
      </c>
      <c r="I115" t="s">
        <v>1022</v>
      </c>
      <c r="J115" t="str">
        <f t="shared" si="1"/>
        <v>PROFUNDIZACIÓN IV</v>
      </c>
    </row>
    <row r="116" spans="2:10" ht="15.75" thickBot="1" x14ac:dyDescent="0.3">
      <c r="B116" s="54" t="s">
        <v>100</v>
      </c>
      <c r="C116" s="71">
        <v>16320</v>
      </c>
      <c r="D116" s="72" t="s">
        <v>315</v>
      </c>
      <c r="E116" s="71">
        <v>2</v>
      </c>
      <c r="G116" s="104">
        <v>2</v>
      </c>
      <c r="H116" s="107">
        <f>+Tabla1[[#This Row],[CRÉDITOS]]-G116</f>
        <v>0</v>
      </c>
      <c r="I116" t="s">
        <v>1023</v>
      </c>
      <c r="J116" t="str">
        <f t="shared" si="1"/>
        <v>METODOLOGÍA DE LA EDUCACIÓN A DISTANCIA</v>
      </c>
    </row>
    <row r="117" spans="2:10" ht="15.75" thickBot="1" x14ac:dyDescent="0.3">
      <c r="B117" s="54" t="s">
        <v>100</v>
      </c>
      <c r="C117" s="71">
        <v>16570</v>
      </c>
      <c r="D117" s="72" t="s">
        <v>66</v>
      </c>
      <c r="E117" s="71">
        <v>2</v>
      </c>
      <c r="G117" s="104">
        <v>2</v>
      </c>
      <c r="H117" s="107">
        <f>+Tabla1[[#This Row],[CRÉDITOS]]-G117</f>
        <v>0</v>
      </c>
      <c r="I117" t="s">
        <v>922</v>
      </c>
      <c r="J117" t="str">
        <f t="shared" si="1"/>
        <v>INGLÉS I</v>
      </c>
    </row>
    <row r="118" spans="2:10" ht="15.75" thickBot="1" x14ac:dyDescent="0.3">
      <c r="B118" s="54" t="s">
        <v>100</v>
      </c>
      <c r="C118" s="71">
        <v>96134</v>
      </c>
      <c r="D118" s="72" t="s">
        <v>319</v>
      </c>
      <c r="E118" s="71">
        <v>3</v>
      </c>
      <c r="G118" s="104">
        <v>3</v>
      </c>
      <c r="H118" s="107">
        <f>+Tabla1[[#This Row],[CRÉDITOS]]-G118</f>
        <v>0</v>
      </c>
      <c r="I118" t="s">
        <v>1024</v>
      </c>
      <c r="J118" t="str">
        <f t="shared" si="1"/>
        <v>FUNDAMENTOS DE MATEMÁTICAS</v>
      </c>
    </row>
    <row r="119" spans="2:10" ht="15.75" thickBot="1" x14ac:dyDescent="0.3">
      <c r="B119" s="54" t="s">
        <v>100</v>
      </c>
      <c r="C119" s="73">
        <v>73418</v>
      </c>
      <c r="D119" s="74" t="s">
        <v>321</v>
      </c>
      <c r="E119" s="73">
        <v>3</v>
      </c>
      <c r="G119" s="104">
        <v>3</v>
      </c>
      <c r="H119" s="107">
        <f>+Tabla1[[#This Row],[CRÉDITOS]]-G119</f>
        <v>0</v>
      </c>
      <c r="I119" t="s">
        <v>1025</v>
      </c>
      <c r="J119" t="str">
        <f t="shared" si="1"/>
        <v>INTRODUCCIÓN A LA INGENIERÍA</v>
      </c>
    </row>
    <row r="120" spans="2:10" ht="15.75" thickBot="1" x14ac:dyDescent="0.3">
      <c r="B120" s="54" t="s">
        <v>100</v>
      </c>
      <c r="C120" s="71">
        <v>73419</v>
      </c>
      <c r="D120" s="72" t="s">
        <v>323</v>
      </c>
      <c r="E120" s="71">
        <v>3</v>
      </c>
      <c r="G120" s="104">
        <v>3</v>
      </c>
      <c r="H120" s="107">
        <f>+Tabla1[[#This Row],[CRÉDITOS]]-G120</f>
        <v>0</v>
      </c>
      <c r="I120" t="s">
        <v>1026</v>
      </c>
      <c r="J120" t="str">
        <f t="shared" si="1"/>
        <v>TEORÍA GENERAL DE SISTEMAS</v>
      </c>
    </row>
    <row r="121" spans="2:10" ht="15.75" thickBot="1" x14ac:dyDescent="0.3">
      <c r="B121" s="54" t="s">
        <v>100</v>
      </c>
      <c r="C121" s="73">
        <v>16869</v>
      </c>
      <c r="D121" s="74" t="s">
        <v>325</v>
      </c>
      <c r="E121" s="73">
        <v>3</v>
      </c>
      <c r="G121" s="104">
        <v>3</v>
      </c>
      <c r="H121" s="107">
        <f>+Tabla1[[#This Row],[CRÉDITOS]]-G121</f>
        <v>0</v>
      </c>
      <c r="I121" t="s">
        <v>1027</v>
      </c>
      <c r="J121" t="str">
        <f t="shared" si="1"/>
        <v>LÓGICA MATEMÁTICA</v>
      </c>
    </row>
    <row r="122" spans="2:10" ht="15.75" thickBot="1" x14ac:dyDescent="0.3">
      <c r="B122" s="54" t="s">
        <v>100</v>
      </c>
      <c r="C122" s="71">
        <v>16323</v>
      </c>
      <c r="D122" s="72" t="s">
        <v>101</v>
      </c>
      <c r="E122" s="71">
        <v>3</v>
      </c>
      <c r="G122" s="104">
        <v>3</v>
      </c>
      <c r="H122" s="107">
        <f>+Tabla1[[#This Row],[CRÉDITOS]]-G122</f>
        <v>0</v>
      </c>
      <c r="I122" t="s">
        <v>927</v>
      </c>
      <c r="J122" t="str">
        <f t="shared" si="1"/>
        <v>FILOSOFÍA INSTITUCIONAL</v>
      </c>
    </row>
    <row r="123" spans="2:10" ht="15.75" thickBot="1" x14ac:dyDescent="0.3">
      <c r="B123" s="54" t="s">
        <v>100</v>
      </c>
      <c r="C123" s="71">
        <v>73421</v>
      </c>
      <c r="D123" s="72" t="s">
        <v>328</v>
      </c>
      <c r="E123" s="71">
        <v>3</v>
      </c>
      <c r="G123" s="104">
        <v>3</v>
      </c>
      <c r="H123" s="107">
        <f>+Tabla1[[#This Row],[CRÉDITOS]]-G123</f>
        <v>0</v>
      </c>
      <c r="I123" t="s">
        <v>1028</v>
      </c>
      <c r="J123" t="str">
        <f t="shared" si="1"/>
        <v>CIRCUITOS BÁSICOS</v>
      </c>
    </row>
    <row r="124" spans="2:10" ht="15.75" thickBot="1" x14ac:dyDescent="0.3">
      <c r="B124" s="54" t="s">
        <v>100</v>
      </c>
      <c r="C124" s="71">
        <v>16571</v>
      </c>
      <c r="D124" s="72" t="s">
        <v>108</v>
      </c>
      <c r="E124" s="71">
        <v>2</v>
      </c>
      <c r="G124" s="104">
        <v>2</v>
      </c>
      <c r="H124" s="107">
        <f>+Tabla1[[#This Row],[CRÉDITOS]]-G124</f>
        <v>0</v>
      </c>
      <c r="I124" t="s">
        <v>986</v>
      </c>
      <c r="J124" t="str">
        <f t="shared" si="1"/>
        <v>INGLÉS II</v>
      </c>
    </row>
    <row r="125" spans="2:10" ht="15.75" thickBot="1" x14ac:dyDescent="0.3">
      <c r="B125" s="54" t="s">
        <v>100</v>
      </c>
      <c r="C125" s="71">
        <v>96110</v>
      </c>
      <c r="D125" s="72" t="s">
        <v>331</v>
      </c>
      <c r="E125" s="71">
        <v>3</v>
      </c>
      <c r="G125" s="104">
        <v>3</v>
      </c>
      <c r="H125" s="107">
        <f>+Tabla1[[#This Row],[CRÉDITOS]]-G125</f>
        <v>0</v>
      </c>
      <c r="I125" t="s">
        <v>1029</v>
      </c>
      <c r="J125" t="str">
        <f t="shared" si="1"/>
        <v>CALCULO DIFERENCIAL</v>
      </c>
    </row>
    <row r="126" spans="2:10" ht="15.75" thickBot="1" x14ac:dyDescent="0.3">
      <c r="B126" s="54" t="s">
        <v>100</v>
      </c>
      <c r="C126" s="71">
        <v>96111</v>
      </c>
      <c r="D126" s="72" t="s">
        <v>333</v>
      </c>
      <c r="E126" s="71">
        <v>3</v>
      </c>
      <c r="G126" s="104">
        <v>3</v>
      </c>
      <c r="H126" s="107">
        <f>+Tabla1[[#This Row],[CRÉDITOS]]-G126</f>
        <v>0</v>
      </c>
      <c r="I126" t="s">
        <v>1030</v>
      </c>
      <c r="J126" t="str">
        <f t="shared" si="1"/>
        <v>ALGEBRA LINEAL</v>
      </c>
    </row>
    <row r="127" spans="2:10" ht="15.75" thickBot="1" x14ac:dyDescent="0.3">
      <c r="B127" s="54" t="s">
        <v>100</v>
      </c>
      <c r="C127" s="73">
        <v>15135</v>
      </c>
      <c r="D127" s="74" t="s">
        <v>56</v>
      </c>
      <c r="E127" s="73">
        <v>2</v>
      </c>
      <c r="G127" s="105">
        <v>2</v>
      </c>
      <c r="H127" s="107">
        <f>+Tabla1[[#This Row],[CRÉDITOS]]-G127</f>
        <v>0</v>
      </c>
      <c r="I127" t="s">
        <v>919</v>
      </c>
      <c r="J127" t="str">
        <f t="shared" si="1"/>
        <v>COMUNICACIÓN ORAL Y ESCRITA</v>
      </c>
    </row>
    <row r="128" spans="2:10" ht="15.75" thickBot="1" x14ac:dyDescent="0.3">
      <c r="B128" s="54" t="s">
        <v>100</v>
      </c>
      <c r="C128" s="71">
        <v>73420</v>
      </c>
      <c r="D128" s="72" t="s">
        <v>334</v>
      </c>
      <c r="E128" s="71">
        <v>3</v>
      </c>
      <c r="G128" s="105">
        <v>3</v>
      </c>
      <c r="H128" s="107">
        <f>+Tabla1[[#This Row],[CRÉDITOS]]-G128</f>
        <v>0</v>
      </c>
      <c r="I128" t="s">
        <v>1031</v>
      </c>
      <c r="J128" t="str">
        <f t="shared" si="1"/>
        <v>ALGORITMOS DE PROGRAMACIÓN</v>
      </c>
    </row>
    <row r="129" spans="2:10" ht="15.75" thickBot="1" x14ac:dyDescent="0.3">
      <c r="B129" s="54" t="s">
        <v>100</v>
      </c>
      <c r="C129" s="71">
        <v>95109</v>
      </c>
      <c r="D129" s="72" t="s">
        <v>136</v>
      </c>
      <c r="E129" s="75">
        <v>3</v>
      </c>
      <c r="G129" s="106">
        <v>3</v>
      </c>
      <c r="H129" s="107">
        <f>+Tabla1[[#This Row],[CRÉDITOS]]-G129</f>
        <v>0</v>
      </c>
      <c r="I129" t="s">
        <v>936</v>
      </c>
      <c r="J129" t="str">
        <f t="shared" si="1"/>
        <v>ANTROPOLOGÍA</v>
      </c>
    </row>
    <row r="130" spans="2:10" ht="15.75" thickBot="1" x14ac:dyDescent="0.3">
      <c r="B130" s="54" t="s">
        <v>100</v>
      </c>
      <c r="C130" s="71">
        <v>16572</v>
      </c>
      <c r="D130" s="72" t="s">
        <v>139</v>
      </c>
      <c r="E130" s="75">
        <v>2</v>
      </c>
      <c r="G130" s="106">
        <v>2</v>
      </c>
      <c r="H130" s="107">
        <f>+Tabla1[[#This Row],[CRÉDITOS]]-G130</f>
        <v>0</v>
      </c>
      <c r="I130" t="s">
        <v>937</v>
      </c>
      <c r="J130" t="str">
        <f t="shared" si="1"/>
        <v>INGLÉS III</v>
      </c>
    </row>
    <row r="131" spans="2:10" ht="15.75" thickBot="1" x14ac:dyDescent="0.3">
      <c r="B131" s="54" t="s">
        <v>100</v>
      </c>
      <c r="C131" s="71">
        <v>96113</v>
      </c>
      <c r="D131" s="72" t="s">
        <v>337</v>
      </c>
      <c r="E131" s="75">
        <v>3</v>
      </c>
      <c r="G131" s="106">
        <v>3</v>
      </c>
      <c r="H131" s="107">
        <f>+Tabla1[[#This Row],[CRÉDITOS]]-G131</f>
        <v>0</v>
      </c>
      <c r="I131" t="s">
        <v>1032</v>
      </c>
      <c r="J131" t="str">
        <f t="shared" si="1"/>
        <v>CALCULO INTEGRAL</v>
      </c>
    </row>
    <row r="132" spans="2:10" ht="15.75" thickBot="1" x14ac:dyDescent="0.3">
      <c r="B132" s="54" t="s">
        <v>100</v>
      </c>
      <c r="C132" s="71">
        <v>96112</v>
      </c>
      <c r="D132" s="72" t="s">
        <v>235</v>
      </c>
      <c r="E132" s="75">
        <v>3</v>
      </c>
      <c r="G132" s="106">
        <v>3</v>
      </c>
      <c r="H132" s="107">
        <f>+Tabla1[[#This Row],[CRÉDITOS]]-G132</f>
        <v>0</v>
      </c>
      <c r="I132" t="s">
        <v>981</v>
      </c>
      <c r="J132" t="str">
        <f t="shared" ref="J132:J195" si="2">+UPPER(I132)</f>
        <v>FÍSICA MECÁNICA</v>
      </c>
    </row>
    <row r="133" spans="2:10" ht="15.75" thickBot="1" x14ac:dyDescent="0.3">
      <c r="B133" s="54" t="s">
        <v>100</v>
      </c>
      <c r="C133" s="71">
        <v>16881</v>
      </c>
      <c r="D133" s="72" t="s">
        <v>341</v>
      </c>
      <c r="E133" s="75">
        <v>3</v>
      </c>
      <c r="G133" s="106">
        <v>3</v>
      </c>
      <c r="H133" s="107">
        <f>+Tabla1[[#This Row],[CRÉDITOS]]-G133</f>
        <v>0</v>
      </c>
      <c r="I133" t="s">
        <v>1033</v>
      </c>
      <c r="J133" t="str">
        <f t="shared" si="2"/>
        <v>ESTRUCTURAS DE DATOS</v>
      </c>
    </row>
    <row r="134" spans="2:10" ht="15.75" thickBot="1" x14ac:dyDescent="0.3">
      <c r="B134" s="54" t="s">
        <v>100</v>
      </c>
      <c r="C134" s="71">
        <v>73424</v>
      </c>
      <c r="D134" s="72" t="s">
        <v>342</v>
      </c>
      <c r="E134" s="75">
        <v>3</v>
      </c>
      <c r="G134" s="105">
        <v>3</v>
      </c>
      <c r="H134" s="107">
        <f>+Tabla1[[#This Row],[CRÉDITOS]]-G134</f>
        <v>0</v>
      </c>
      <c r="I134" t="s">
        <v>1034</v>
      </c>
      <c r="J134" t="str">
        <f t="shared" si="2"/>
        <v>SISTEMAS OPERATIVOS</v>
      </c>
    </row>
    <row r="135" spans="2:10" ht="15.75" thickBot="1" x14ac:dyDescent="0.3">
      <c r="B135" s="54" t="s">
        <v>100</v>
      </c>
      <c r="C135" s="71">
        <v>16821</v>
      </c>
      <c r="D135" s="72" t="s">
        <v>1035</v>
      </c>
      <c r="E135" s="71">
        <v>3</v>
      </c>
      <c r="G135" s="105">
        <v>3</v>
      </c>
      <c r="H135" s="107">
        <f>+Tabla1[[#This Row],[CRÉDITOS]]-G135</f>
        <v>0</v>
      </c>
      <c r="I135" t="s">
        <v>1036</v>
      </c>
      <c r="J135" t="str">
        <f t="shared" si="2"/>
        <v>ELECTIVA PROFESIONAL I</v>
      </c>
    </row>
    <row r="136" spans="2:10" ht="15.75" thickBot="1" x14ac:dyDescent="0.3">
      <c r="B136" s="54" t="s">
        <v>100</v>
      </c>
      <c r="C136" s="71">
        <v>96115</v>
      </c>
      <c r="D136" s="72" t="s">
        <v>345</v>
      </c>
      <c r="E136" s="71">
        <v>3</v>
      </c>
      <c r="G136" s="104">
        <v>3</v>
      </c>
      <c r="H136" s="107">
        <f>+Tabla1[[#This Row],[CRÉDITOS]]-G136</f>
        <v>0</v>
      </c>
      <c r="I136" t="s">
        <v>1037</v>
      </c>
      <c r="J136" t="str">
        <f t="shared" si="2"/>
        <v>CALCULO VECTORIAL</v>
      </c>
    </row>
    <row r="137" spans="2:10" ht="15.75" thickBot="1" x14ac:dyDescent="0.3">
      <c r="B137" s="54" t="s">
        <v>100</v>
      </c>
      <c r="C137" s="71">
        <v>16573</v>
      </c>
      <c r="D137" s="72" t="s">
        <v>163</v>
      </c>
      <c r="E137" s="71">
        <v>2</v>
      </c>
      <c r="G137" s="104">
        <v>2</v>
      </c>
      <c r="H137" s="107">
        <f>+Tabla1[[#This Row],[CRÉDITOS]]-G137</f>
        <v>0</v>
      </c>
      <c r="I137" t="s">
        <v>946</v>
      </c>
      <c r="J137" t="str">
        <f t="shared" si="2"/>
        <v>INGLÉS IV</v>
      </c>
    </row>
    <row r="138" spans="2:10" ht="15.75" thickBot="1" x14ac:dyDescent="0.3">
      <c r="B138" s="54" t="s">
        <v>100</v>
      </c>
      <c r="C138" s="71">
        <v>73658</v>
      </c>
      <c r="D138" s="72" t="s">
        <v>347</v>
      </c>
      <c r="E138" s="71">
        <v>3</v>
      </c>
      <c r="G138" s="104">
        <v>3</v>
      </c>
      <c r="H138" s="107">
        <f>+Tabla1[[#This Row],[CRÉDITOS]]-G138</f>
        <v>0</v>
      </c>
      <c r="I138" t="s">
        <v>1038</v>
      </c>
      <c r="J138" t="str">
        <f t="shared" si="2"/>
        <v>ELECTRICIDAD Y MAGNETISMO</v>
      </c>
    </row>
    <row r="139" spans="2:10" ht="15.75" thickBot="1" x14ac:dyDescent="0.3">
      <c r="B139" s="54" t="s">
        <v>100</v>
      </c>
      <c r="C139" s="71">
        <v>73425</v>
      </c>
      <c r="D139" s="72" t="s">
        <v>349</v>
      </c>
      <c r="E139" s="71">
        <v>3</v>
      </c>
      <c r="G139" s="105">
        <v>3</v>
      </c>
      <c r="H139" s="107">
        <f>+Tabla1[[#This Row],[CRÉDITOS]]-G139</f>
        <v>0</v>
      </c>
      <c r="I139" t="s">
        <v>1039</v>
      </c>
      <c r="J139" t="str">
        <f t="shared" si="2"/>
        <v>PROGRAMACIÓN BÁSICA</v>
      </c>
    </row>
    <row r="140" spans="2:10" ht="15.75" thickBot="1" x14ac:dyDescent="0.3">
      <c r="B140" s="54" t="s">
        <v>100</v>
      </c>
      <c r="C140" s="71">
        <v>95110</v>
      </c>
      <c r="D140" s="72" t="s">
        <v>160</v>
      </c>
      <c r="E140" s="71">
        <v>2</v>
      </c>
      <c r="G140" s="104">
        <v>2</v>
      </c>
      <c r="H140" s="107">
        <f>+Tabla1[[#This Row],[CRÉDITOS]]-G140</f>
        <v>0</v>
      </c>
      <c r="I140" t="s">
        <v>945</v>
      </c>
      <c r="J140" t="str">
        <f t="shared" si="2"/>
        <v>EPISTEMOLOGÍA</v>
      </c>
    </row>
    <row r="141" spans="2:10" ht="15.75" thickBot="1" x14ac:dyDescent="0.3">
      <c r="B141" s="54" t="s">
        <v>100</v>
      </c>
      <c r="C141" s="71">
        <v>16806</v>
      </c>
      <c r="D141" s="72" t="s">
        <v>262</v>
      </c>
      <c r="E141" s="71">
        <v>2</v>
      </c>
      <c r="G141" s="104">
        <v>2</v>
      </c>
      <c r="H141" s="107">
        <f>+Tabla1[[#This Row],[CRÉDITOS]]-G141</f>
        <v>0</v>
      </c>
      <c r="I141" t="s">
        <v>999</v>
      </c>
      <c r="J141" t="str">
        <f t="shared" si="2"/>
        <v>PROBABILIDAD Y ESTADÍSTICA</v>
      </c>
    </row>
    <row r="142" spans="2:10" ht="15.75" thickBot="1" x14ac:dyDescent="0.3">
      <c r="B142" s="54" t="s">
        <v>100</v>
      </c>
      <c r="C142" s="71">
        <v>73620</v>
      </c>
      <c r="D142" s="72" t="s">
        <v>351</v>
      </c>
      <c r="E142" s="75">
        <v>2</v>
      </c>
      <c r="G142" s="106">
        <v>2</v>
      </c>
      <c r="H142" s="107">
        <f>+Tabla1[[#This Row],[CRÉDITOS]]-G142</f>
        <v>0</v>
      </c>
      <c r="I142" t="s">
        <v>1040</v>
      </c>
      <c r="J142" t="str">
        <f t="shared" si="2"/>
        <v>METODOLOGÍA DE LA INVESTIGACIÓN</v>
      </c>
    </row>
    <row r="143" spans="2:10" ht="15.75" thickBot="1" x14ac:dyDescent="0.3">
      <c r="B143" s="54" t="s">
        <v>100</v>
      </c>
      <c r="C143" s="71">
        <v>16826</v>
      </c>
      <c r="D143" s="72" t="s">
        <v>1041</v>
      </c>
      <c r="E143" s="75">
        <v>2</v>
      </c>
      <c r="G143" s="105">
        <v>3</v>
      </c>
      <c r="H143" s="107">
        <f>+Tabla1[[#This Row],[CRÉDITOS]]-G143</f>
        <v>-1</v>
      </c>
      <c r="I143" t="s">
        <v>1042</v>
      </c>
      <c r="J143" t="str">
        <f t="shared" si="2"/>
        <v>ELECTIVA PROFESIONAL II</v>
      </c>
    </row>
    <row r="144" spans="2:10" ht="15.75" thickBot="1" x14ac:dyDescent="0.3">
      <c r="B144" s="54" t="s">
        <v>100</v>
      </c>
      <c r="C144" s="71">
        <v>16887</v>
      </c>
      <c r="D144" s="72" t="s">
        <v>354</v>
      </c>
      <c r="E144" s="75">
        <v>3</v>
      </c>
      <c r="G144" s="106">
        <v>3</v>
      </c>
      <c r="H144" s="107">
        <f>+Tabla1[[#This Row],[CRÉDITOS]]-G144</f>
        <v>0</v>
      </c>
      <c r="I144" t="s">
        <v>1043</v>
      </c>
      <c r="J144" t="str">
        <f t="shared" si="2"/>
        <v>TEORÍA DE GRAFOS</v>
      </c>
    </row>
    <row r="145" spans="2:10" ht="15.75" thickBot="1" x14ac:dyDescent="0.3">
      <c r="B145" s="54" t="s">
        <v>100</v>
      </c>
      <c r="C145" s="71">
        <v>73633</v>
      </c>
      <c r="D145" s="72" t="s">
        <v>201</v>
      </c>
      <c r="E145" s="75">
        <v>2</v>
      </c>
      <c r="G145" s="106">
        <v>2</v>
      </c>
      <c r="H145" s="107">
        <f>+Tabla1[[#This Row],[CRÉDITOS]]-G145</f>
        <v>0</v>
      </c>
      <c r="I145" t="s">
        <v>960</v>
      </c>
      <c r="J145" t="str">
        <f t="shared" si="2"/>
        <v>INGLÉS V</v>
      </c>
    </row>
    <row r="146" spans="2:10" ht="15.75" thickBot="1" x14ac:dyDescent="0.3">
      <c r="B146" s="54" t="s">
        <v>100</v>
      </c>
      <c r="C146" s="73">
        <v>16879</v>
      </c>
      <c r="D146" s="74" t="s">
        <v>355</v>
      </c>
      <c r="E146" s="73">
        <v>3</v>
      </c>
      <c r="G146" s="105">
        <v>3</v>
      </c>
      <c r="H146" s="107">
        <f>+Tabla1[[#This Row],[CRÉDITOS]]-G146</f>
        <v>0</v>
      </c>
      <c r="I146" t="s">
        <v>1044</v>
      </c>
      <c r="J146" t="str">
        <f t="shared" si="2"/>
        <v>ANÁLISIS Y DISEÑO DE SISTEMAS</v>
      </c>
    </row>
    <row r="147" spans="2:10" ht="15.75" thickBot="1" x14ac:dyDescent="0.3">
      <c r="B147" s="54" t="s">
        <v>100</v>
      </c>
      <c r="C147" s="71">
        <v>73426</v>
      </c>
      <c r="D147" s="72" t="s">
        <v>356</v>
      </c>
      <c r="E147" s="75">
        <v>3</v>
      </c>
      <c r="G147" s="106">
        <v>3</v>
      </c>
      <c r="H147" s="107">
        <f>+Tabla1[[#This Row],[CRÉDITOS]]-G147</f>
        <v>0</v>
      </c>
      <c r="I147" t="s">
        <v>1045</v>
      </c>
      <c r="J147" t="str">
        <f t="shared" si="2"/>
        <v>ESTRUCTURA DE REDES</v>
      </c>
    </row>
    <row r="148" spans="2:10" ht="15.75" thickBot="1" x14ac:dyDescent="0.3">
      <c r="B148" s="54" t="s">
        <v>100</v>
      </c>
      <c r="C148" s="71">
        <v>95111</v>
      </c>
      <c r="D148" s="72" t="s">
        <v>184</v>
      </c>
      <c r="E148" s="71">
        <v>3</v>
      </c>
      <c r="G148" s="104">
        <v>3</v>
      </c>
      <c r="H148" s="107">
        <f>+Tabla1[[#This Row],[CRÉDITOS]]-G148</f>
        <v>0</v>
      </c>
      <c r="I148" t="s">
        <v>953</v>
      </c>
      <c r="J148" t="str">
        <f t="shared" si="2"/>
        <v>CULTURA TEOLÓGICA</v>
      </c>
    </row>
    <row r="149" spans="2:10" ht="15.75" thickBot="1" x14ac:dyDescent="0.3">
      <c r="B149" s="54" t="s">
        <v>100</v>
      </c>
      <c r="C149" s="71">
        <v>16831</v>
      </c>
      <c r="D149" s="72" t="s">
        <v>358</v>
      </c>
      <c r="E149" s="71">
        <v>3</v>
      </c>
      <c r="G149" s="104">
        <v>3</v>
      </c>
      <c r="H149" s="107">
        <f>+Tabla1[[#This Row],[CRÉDITOS]]-G149</f>
        <v>0</v>
      </c>
      <c r="I149" t="s">
        <v>1046</v>
      </c>
      <c r="J149" t="str">
        <f t="shared" si="2"/>
        <v>ELECTIVA PROFESIONAL III</v>
      </c>
    </row>
    <row r="150" spans="2:10" ht="15.75" thickBot="1" x14ac:dyDescent="0.3">
      <c r="B150" s="54" t="s">
        <v>100</v>
      </c>
      <c r="C150" s="71">
        <v>73638</v>
      </c>
      <c r="D150" s="72" t="s">
        <v>213</v>
      </c>
      <c r="E150" s="71">
        <v>2</v>
      </c>
      <c r="G150" s="104">
        <v>2</v>
      </c>
      <c r="H150" s="107">
        <f>+Tabla1[[#This Row],[CRÉDITOS]]-G150</f>
        <v>0</v>
      </c>
      <c r="I150" t="s">
        <v>968</v>
      </c>
      <c r="J150" t="str">
        <f t="shared" si="2"/>
        <v>INGLÉS VI</v>
      </c>
    </row>
    <row r="151" spans="2:10" ht="15.75" thickBot="1" x14ac:dyDescent="0.3">
      <c r="B151" s="54" t="s">
        <v>100</v>
      </c>
      <c r="C151" s="73">
        <v>16883</v>
      </c>
      <c r="D151" s="74" t="s">
        <v>362</v>
      </c>
      <c r="E151" s="73">
        <v>3</v>
      </c>
      <c r="G151" s="105">
        <v>3</v>
      </c>
      <c r="H151" s="107">
        <f>+Tabla1[[#This Row],[CRÉDITOS]]-G151</f>
        <v>0</v>
      </c>
      <c r="I151" t="s">
        <v>1047</v>
      </c>
      <c r="J151" t="str">
        <f t="shared" si="2"/>
        <v>INGENIERÍA DE SOFTWARE</v>
      </c>
    </row>
    <row r="152" spans="2:10" ht="15.75" thickBot="1" x14ac:dyDescent="0.3">
      <c r="B152" s="54" t="s">
        <v>100</v>
      </c>
      <c r="C152" s="71">
        <v>16880</v>
      </c>
      <c r="D152" s="72" t="s">
        <v>363</v>
      </c>
      <c r="E152" s="71">
        <v>3</v>
      </c>
      <c r="G152" s="104">
        <v>3</v>
      </c>
      <c r="H152" s="107">
        <f>+Tabla1[[#This Row],[CRÉDITOS]]-G152</f>
        <v>0</v>
      </c>
      <c r="I152" t="s">
        <v>1048</v>
      </c>
      <c r="J152" t="str">
        <f t="shared" si="2"/>
        <v>TRABAJO COMUNITARIO I</v>
      </c>
    </row>
    <row r="153" spans="2:10" ht="15.75" thickBot="1" x14ac:dyDescent="0.3">
      <c r="B153" s="54" t="s">
        <v>100</v>
      </c>
      <c r="C153" s="71">
        <v>96117</v>
      </c>
      <c r="D153" s="72" t="s">
        <v>261</v>
      </c>
      <c r="E153" s="71">
        <v>3</v>
      </c>
      <c r="G153" s="104">
        <v>3</v>
      </c>
      <c r="H153" s="107">
        <f>+Tabla1[[#This Row],[CRÉDITOS]]-G153</f>
        <v>0</v>
      </c>
      <c r="I153" t="s">
        <v>998</v>
      </c>
      <c r="J153" t="str">
        <f t="shared" si="2"/>
        <v>ECUACIONES DIFERENCIALES</v>
      </c>
    </row>
    <row r="154" spans="2:10" ht="15.75" thickBot="1" x14ac:dyDescent="0.3">
      <c r="B154" s="54" t="s">
        <v>100</v>
      </c>
      <c r="C154" s="71">
        <v>16643</v>
      </c>
      <c r="D154" s="72" t="s">
        <v>364</v>
      </c>
      <c r="E154" s="71">
        <v>2</v>
      </c>
      <c r="G154" s="104">
        <v>2</v>
      </c>
      <c r="H154" s="107">
        <f>+Tabla1[[#This Row],[CRÉDITOS]]-G154</f>
        <v>0</v>
      </c>
      <c r="I154" t="s">
        <v>1049</v>
      </c>
      <c r="J154" t="str">
        <f t="shared" si="2"/>
        <v>ESTADÍSTICA APLICADA</v>
      </c>
    </row>
    <row r="155" spans="2:10" ht="15.75" thickBot="1" x14ac:dyDescent="0.3">
      <c r="B155" s="54" t="s">
        <v>100</v>
      </c>
      <c r="C155" s="71">
        <v>16836</v>
      </c>
      <c r="D155" s="72" t="s">
        <v>1050</v>
      </c>
      <c r="E155" s="71">
        <v>3</v>
      </c>
      <c r="G155" s="104">
        <v>3</v>
      </c>
      <c r="H155" s="107">
        <f>+Tabla1[[#This Row],[CRÉDITOS]]-G155</f>
        <v>0</v>
      </c>
      <c r="I155" t="s">
        <v>1051</v>
      </c>
      <c r="J155" t="str">
        <f t="shared" si="2"/>
        <v>ELECTIVA PROFESIONAL IV</v>
      </c>
    </row>
    <row r="156" spans="2:10" ht="15.75" thickBot="1" x14ac:dyDescent="0.3">
      <c r="B156" s="54" t="s">
        <v>100</v>
      </c>
      <c r="C156" s="71">
        <v>73622</v>
      </c>
      <c r="D156" s="72" t="s">
        <v>369</v>
      </c>
      <c r="E156" s="71">
        <v>2</v>
      </c>
      <c r="G156" s="104">
        <v>2</v>
      </c>
      <c r="H156" s="107">
        <f>+Tabla1[[#This Row],[CRÉDITOS]]-G156</f>
        <v>0</v>
      </c>
      <c r="I156" t="s">
        <v>1052</v>
      </c>
      <c r="J156" t="str">
        <f t="shared" si="2"/>
        <v>MÉTODOS Y TÉCNICAS DE INVESTIGACIÓN</v>
      </c>
    </row>
    <row r="157" spans="2:10" ht="15.75" thickBot="1" x14ac:dyDescent="0.3">
      <c r="B157" s="54" t="s">
        <v>100</v>
      </c>
      <c r="C157" s="71">
        <v>16885</v>
      </c>
      <c r="D157" s="72" t="s">
        <v>370</v>
      </c>
      <c r="E157" s="71">
        <v>3</v>
      </c>
      <c r="G157" s="104">
        <v>3</v>
      </c>
      <c r="H157" s="107">
        <f>+Tabla1[[#This Row],[CRÉDITOS]]-G157</f>
        <v>0</v>
      </c>
      <c r="I157" t="s">
        <v>1053</v>
      </c>
      <c r="J157" t="str">
        <f t="shared" si="2"/>
        <v>SOLUCIONES TELEMÁTICAS EMPRESARIALES</v>
      </c>
    </row>
    <row r="158" spans="2:10" ht="15.75" thickBot="1" x14ac:dyDescent="0.3">
      <c r="B158" s="54" t="s">
        <v>100</v>
      </c>
      <c r="C158" s="71">
        <v>73428</v>
      </c>
      <c r="D158" s="72" t="s">
        <v>371</v>
      </c>
      <c r="E158" s="71">
        <v>3</v>
      </c>
      <c r="G158" s="105">
        <v>3</v>
      </c>
      <c r="H158" s="107">
        <f>+Tabla1[[#This Row],[CRÉDITOS]]-G158</f>
        <v>0</v>
      </c>
      <c r="I158" t="s">
        <v>1054</v>
      </c>
      <c r="J158" t="str">
        <f t="shared" si="2"/>
        <v>DISEÑO DE BASES DE DATOS</v>
      </c>
    </row>
    <row r="159" spans="2:10" ht="15.75" thickBot="1" x14ac:dyDescent="0.3">
      <c r="B159" s="54" t="s">
        <v>100</v>
      </c>
      <c r="C159" s="71">
        <v>16395</v>
      </c>
      <c r="D159" s="72" t="s">
        <v>217</v>
      </c>
      <c r="E159" s="71">
        <v>3</v>
      </c>
      <c r="G159" s="104">
        <v>3</v>
      </c>
      <c r="H159" s="107">
        <f>+Tabla1[[#This Row],[CRÉDITOS]]-G159</f>
        <v>0</v>
      </c>
      <c r="I159" t="s">
        <v>970</v>
      </c>
      <c r="J159" t="str">
        <f t="shared" si="2"/>
        <v>CATEDRA OPCIONAL</v>
      </c>
    </row>
    <row r="160" spans="2:10" ht="15.75" thickBot="1" x14ac:dyDescent="0.3">
      <c r="B160" s="54" t="s">
        <v>100</v>
      </c>
      <c r="C160" s="71">
        <v>16841</v>
      </c>
      <c r="D160" s="72" t="s">
        <v>1055</v>
      </c>
      <c r="E160" s="71">
        <v>3</v>
      </c>
      <c r="G160" s="105">
        <v>3</v>
      </c>
      <c r="H160" s="107">
        <f>+Tabla1[[#This Row],[CRÉDITOS]]-G160</f>
        <v>0</v>
      </c>
      <c r="I160" t="s">
        <v>1056</v>
      </c>
      <c r="J160" t="str">
        <f t="shared" si="2"/>
        <v>ELECTIVA PROFESIONAL V</v>
      </c>
    </row>
    <row r="161" spans="2:10" ht="15.75" thickBot="1" x14ac:dyDescent="0.3">
      <c r="B161" s="54" t="s">
        <v>100</v>
      </c>
      <c r="C161" s="71">
        <v>16846</v>
      </c>
      <c r="D161" s="72" t="s">
        <v>1057</v>
      </c>
      <c r="E161" s="71">
        <v>2</v>
      </c>
      <c r="G161" s="104">
        <v>2</v>
      </c>
      <c r="H161" s="107">
        <f>+Tabla1[[#This Row],[CRÉDITOS]]-G161</f>
        <v>0</v>
      </c>
      <c r="I161" t="s">
        <v>1058</v>
      </c>
      <c r="J161" t="str">
        <f t="shared" si="2"/>
        <v>ELECTIVA DE ÉNFASIS I</v>
      </c>
    </row>
    <row r="162" spans="2:10" ht="15.75" thickBot="1" x14ac:dyDescent="0.3">
      <c r="B162" s="54" t="s">
        <v>100</v>
      </c>
      <c r="C162" s="71">
        <v>16698</v>
      </c>
      <c r="D162" s="72" t="s">
        <v>374</v>
      </c>
      <c r="E162" s="71">
        <v>3</v>
      </c>
      <c r="G162" s="104">
        <v>3</v>
      </c>
      <c r="H162" s="107">
        <f>+Tabla1[[#This Row],[CRÉDITOS]]-G162</f>
        <v>0</v>
      </c>
      <c r="I162" t="s">
        <v>1059</v>
      </c>
      <c r="J162" t="str">
        <f t="shared" si="2"/>
        <v>TRABAJO COMUNITARIO II</v>
      </c>
    </row>
    <row r="163" spans="2:10" ht="15.75" thickBot="1" x14ac:dyDescent="0.3">
      <c r="B163" s="54" t="s">
        <v>100</v>
      </c>
      <c r="C163" s="71">
        <v>73655</v>
      </c>
      <c r="D163" s="72" t="s">
        <v>375</v>
      </c>
      <c r="E163" s="71">
        <v>3</v>
      </c>
      <c r="G163" s="104">
        <v>3</v>
      </c>
      <c r="H163" s="107">
        <f>+Tabla1[[#This Row],[CRÉDITOS]]-G163</f>
        <v>0</v>
      </c>
      <c r="I163" t="s">
        <v>1060</v>
      </c>
      <c r="J163" t="str">
        <f t="shared" si="2"/>
        <v>INVESTIGACIÓN DE OPERACIONES</v>
      </c>
    </row>
    <row r="164" spans="2:10" ht="15.75" thickBot="1" x14ac:dyDescent="0.3">
      <c r="B164" s="54" t="s">
        <v>100</v>
      </c>
      <c r="C164" s="71">
        <v>73429</v>
      </c>
      <c r="D164" s="72" t="s">
        <v>376</v>
      </c>
      <c r="E164" s="71">
        <v>3</v>
      </c>
      <c r="G164" s="105">
        <v>3</v>
      </c>
      <c r="H164" s="107">
        <f>+Tabla1[[#This Row],[CRÉDITOS]]-G164</f>
        <v>0</v>
      </c>
      <c r="I164" t="s">
        <v>1061</v>
      </c>
      <c r="J164" t="str">
        <f t="shared" si="2"/>
        <v>PROGRAMACIÓN AVANZADA</v>
      </c>
    </row>
    <row r="165" spans="2:10" ht="15.75" thickBot="1" x14ac:dyDescent="0.3">
      <c r="B165" s="54" t="s">
        <v>100</v>
      </c>
      <c r="C165" s="71">
        <v>95112</v>
      </c>
      <c r="D165" s="72" t="s">
        <v>202</v>
      </c>
      <c r="E165" s="75">
        <v>2</v>
      </c>
      <c r="G165" s="104">
        <v>2</v>
      </c>
      <c r="H165" s="107">
        <f>+Tabla1[[#This Row],[CRÉDITOS]]-G165</f>
        <v>0</v>
      </c>
      <c r="I165" t="s">
        <v>961</v>
      </c>
      <c r="J165" t="str">
        <f t="shared" si="2"/>
        <v>FILOSOFÍA POLÍTICA</v>
      </c>
    </row>
    <row r="166" spans="2:10" ht="15.75" thickBot="1" x14ac:dyDescent="0.3">
      <c r="B166" s="54" t="s">
        <v>100</v>
      </c>
      <c r="C166" s="71">
        <v>95113</v>
      </c>
      <c r="D166" s="72" t="s">
        <v>214</v>
      </c>
      <c r="E166" s="71">
        <v>2</v>
      </c>
      <c r="G166" s="104">
        <v>2</v>
      </c>
      <c r="H166" s="107">
        <f>+Tabla1[[#This Row],[CRÉDITOS]]-G166</f>
        <v>0</v>
      </c>
      <c r="I166" t="s">
        <v>969</v>
      </c>
      <c r="J166" t="str">
        <f t="shared" si="2"/>
        <v>ÉTICA</v>
      </c>
    </row>
    <row r="167" spans="2:10" ht="15.75" thickBot="1" x14ac:dyDescent="0.3">
      <c r="B167" s="54" t="s">
        <v>100</v>
      </c>
      <c r="C167" s="71">
        <v>16850</v>
      </c>
      <c r="D167" s="72" t="s">
        <v>1062</v>
      </c>
      <c r="E167" s="71">
        <v>2</v>
      </c>
      <c r="G167" s="104">
        <v>2</v>
      </c>
      <c r="H167" s="107">
        <f>+Tabla1[[#This Row],[CRÉDITOS]]-G167</f>
        <v>0</v>
      </c>
      <c r="I167" t="s">
        <v>1063</v>
      </c>
      <c r="J167" t="str">
        <f t="shared" si="2"/>
        <v>ELECTIVA DE ÉNFASIS II</v>
      </c>
    </row>
    <row r="168" spans="2:10" ht="15.75" thickBot="1" x14ac:dyDescent="0.3">
      <c r="B168" s="54" t="s">
        <v>100</v>
      </c>
      <c r="C168" s="71">
        <v>16886</v>
      </c>
      <c r="D168" s="72" t="s">
        <v>380</v>
      </c>
      <c r="E168" s="71">
        <v>3</v>
      </c>
      <c r="G168" s="104">
        <v>3</v>
      </c>
      <c r="H168" s="107">
        <f>+Tabla1[[#This Row],[CRÉDITOS]]-G168</f>
        <v>0</v>
      </c>
      <c r="I168" t="s">
        <v>1064</v>
      </c>
      <c r="J168" t="str">
        <f t="shared" si="2"/>
        <v>ANÁLISIS NUMÉRICO</v>
      </c>
    </row>
    <row r="169" spans="2:10" ht="15.75" thickBot="1" x14ac:dyDescent="0.3">
      <c r="B169" s="54" t="s">
        <v>100</v>
      </c>
      <c r="C169" s="71">
        <v>73430</v>
      </c>
      <c r="D169" s="72" t="s">
        <v>381</v>
      </c>
      <c r="E169" s="71">
        <v>3</v>
      </c>
      <c r="G169" s="104">
        <v>3</v>
      </c>
      <c r="H169" s="107">
        <f>+Tabla1[[#This Row],[CRÉDITOS]]-G169</f>
        <v>0</v>
      </c>
      <c r="I169" t="s">
        <v>1065</v>
      </c>
      <c r="J169" t="str">
        <f t="shared" si="2"/>
        <v>ADMINISTRACIÓN DE BASES DE DATOS</v>
      </c>
    </row>
    <row r="170" spans="2:10" ht="15.75" thickBot="1" x14ac:dyDescent="0.3">
      <c r="B170" s="54" t="s">
        <v>100</v>
      </c>
      <c r="C170" s="71">
        <v>16890</v>
      </c>
      <c r="D170" s="72" t="s">
        <v>382</v>
      </c>
      <c r="E170" s="71">
        <v>4</v>
      </c>
      <c r="G170" s="104">
        <v>4</v>
      </c>
      <c r="H170" s="107">
        <f>+Tabla1[[#This Row],[CRÉDITOS]]-G170</f>
        <v>0</v>
      </c>
      <c r="I170" t="s">
        <v>1066</v>
      </c>
      <c r="J170" t="str">
        <f t="shared" si="2"/>
        <v>PROYECTO INFORMÁTICO I</v>
      </c>
    </row>
    <row r="171" spans="2:10" ht="15.75" thickBot="1" x14ac:dyDescent="0.3">
      <c r="B171" s="54" t="s">
        <v>100</v>
      </c>
      <c r="C171" s="71">
        <v>16884</v>
      </c>
      <c r="D171" s="72" t="s">
        <v>383</v>
      </c>
      <c r="E171" s="71">
        <v>3</v>
      </c>
      <c r="G171" s="104">
        <v>3</v>
      </c>
      <c r="H171" s="107">
        <f>+Tabla1[[#This Row],[CRÉDITOS]]-G171</f>
        <v>0</v>
      </c>
      <c r="I171" t="s">
        <v>1067</v>
      </c>
      <c r="J171" t="str">
        <f t="shared" si="2"/>
        <v>TEORÍA DE LA DECISIÓN</v>
      </c>
    </row>
    <row r="172" spans="2:10" ht="15.75" thickBot="1" x14ac:dyDescent="0.3">
      <c r="B172" s="54" t="s">
        <v>100</v>
      </c>
      <c r="C172" s="71">
        <v>16854</v>
      </c>
      <c r="D172" s="72" t="s">
        <v>1068</v>
      </c>
      <c r="E172" s="71">
        <v>3</v>
      </c>
      <c r="G172" s="104">
        <v>3</v>
      </c>
      <c r="H172" s="107">
        <f>+Tabla1[[#This Row],[CRÉDITOS]]-G172</f>
        <v>0</v>
      </c>
      <c r="I172" t="s">
        <v>1069</v>
      </c>
      <c r="J172" t="str">
        <f t="shared" si="2"/>
        <v>ELECTIVA DE ÉNFASIS III</v>
      </c>
    </row>
    <row r="173" spans="2:10" ht="15.75" thickBot="1" x14ac:dyDescent="0.3">
      <c r="B173" s="54" t="s">
        <v>100</v>
      </c>
      <c r="C173" s="71">
        <v>16891</v>
      </c>
      <c r="D173" s="72" t="s">
        <v>385</v>
      </c>
      <c r="E173" s="71">
        <v>4</v>
      </c>
      <c r="G173" s="104">
        <v>4</v>
      </c>
      <c r="H173" s="107">
        <f>+Tabla1[[#This Row],[CRÉDITOS]]-G173</f>
        <v>0</v>
      </c>
      <c r="I173" t="s">
        <v>1070</v>
      </c>
      <c r="J173" t="str">
        <f t="shared" si="2"/>
        <v>PROYECTO INFORMÁTICO II</v>
      </c>
    </row>
    <row r="174" spans="2:10" ht="15.75" thickBot="1" x14ac:dyDescent="0.3">
      <c r="B174" s="54" t="s">
        <v>100</v>
      </c>
      <c r="C174" s="73">
        <v>73431</v>
      </c>
      <c r="D174" s="74" t="s">
        <v>386</v>
      </c>
      <c r="E174" s="73">
        <v>3</v>
      </c>
      <c r="G174" s="105">
        <v>3</v>
      </c>
      <c r="H174" s="107">
        <f>+Tabla1[[#This Row],[CRÉDITOS]]-G174</f>
        <v>0</v>
      </c>
      <c r="I174" t="s">
        <v>1071</v>
      </c>
      <c r="J174" t="str">
        <f t="shared" si="2"/>
        <v>DESARROLLO DE SOFTWARE</v>
      </c>
    </row>
    <row r="175" spans="2:10" x14ac:dyDescent="0.25">
      <c r="B175" s="54" t="s">
        <v>100</v>
      </c>
      <c r="C175" s="71">
        <v>73432</v>
      </c>
      <c r="D175" s="72" t="s">
        <v>387</v>
      </c>
      <c r="E175" s="71">
        <v>3</v>
      </c>
      <c r="G175" s="104">
        <v>3</v>
      </c>
      <c r="H175" s="107">
        <f>+Tabla1[[#This Row],[CRÉDITOS]]-G175</f>
        <v>0</v>
      </c>
      <c r="I175" t="s">
        <v>1072</v>
      </c>
      <c r="J175" t="str">
        <f t="shared" si="2"/>
        <v>AUDITORIA DE SISTEMAS</v>
      </c>
    </row>
    <row r="176" spans="2:10" x14ac:dyDescent="0.25">
      <c r="B176" s="54" t="s">
        <v>107</v>
      </c>
      <c r="C176" s="55">
        <v>15135</v>
      </c>
      <c r="D176" s="56" t="s">
        <v>56</v>
      </c>
      <c r="E176" s="57">
        <v>2</v>
      </c>
      <c r="H176" s="107">
        <f>+Tabla1[[#This Row],[CRÉDITOS]]-G176</f>
        <v>2</v>
      </c>
      <c r="I176" t="s">
        <v>919</v>
      </c>
      <c r="J176" t="str">
        <f t="shared" si="2"/>
        <v>COMUNICACIÓN ORAL Y ESCRITA</v>
      </c>
    </row>
    <row r="177" spans="2:10" x14ac:dyDescent="0.25">
      <c r="B177" s="54" t="s">
        <v>107</v>
      </c>
      <c r="C177" s="67">
        <v>16320</v>
      </c>
      <c r="D177" s="69" t="s">
        <v>389</v>
      </c>
      <c r="E177" s="70">
        <v>2</v>
      </c>
      <c r="H177" s="107">
        <f>+Tabla1[[#This Row],[CRÉDITOS]]-G177</f>
        <v>2</v>
      </c>
      <c r="I177" t="s">
        <v>1073</v>
      </c>
      <c r="J177" t="str">
        <f t="shared" si="2"/>
        <v>METODOLOGÍA EDUCACIÓN A DISTANCIA</v>
      </c>
    </row>
    <row r="178" spans="2:10" x14ac:dyDescent="0.25">
      <c r="B178" s="54" t="s">
        <v>107</v>
      </c>
      <c r="C178" s="55">
        <v>16690</v>
      </c>
      <c r="D178" s="56" t="s">
        <v>391</v>
      </c>
      <c r="E178" s="57">
        <v>2</v>
      </c>
      <c r="H178" s="107">
        <f>+Tabla1[[#This Row],[CRÉDITOS]]-G178</f>
        <v>2</v>
      </c>
      <c r="I178" t="s">
        <v>1074</v>
      </c>
      <c r="J178" t="str">
        <f t="shared" si="2"/>
        <v>FUNDAMENTOS DE ADMINISTRACIÓN</v>
      </c>
    </row>
    <row r="179" spans="2:10" x14ac:dyDescent="0.25">
      <c r="B179" s="54" t="s">
        <v>107</v>
      </c>
      <c r="C179" s="67">
        <v>16715</v>
      </c>
      <c r="D179" s="69" t="s">
        <v>393</v>
      </c>
      <c r="E179" s="70">
        <v>3</v>
      </c>
      <c r="H179" s="107">
        <f>+Tabla1[[#This Row],[CRÉDITOS]]-G179</f>
        <v>3</v>
      </c>
      <c r="I179" t="s">
        <v>1075</v>
      </c>
      <c r="J179" t="str">
        <f t="shared" si="2"/>
        <v>MATEMÁTICAS BÁSICAS</v>
      </c>
    </row>
    <row r="180" spans="2:10" x14ac:dyDescent="0.25">
      <c r="B180" s="54" t="s">
        <v>107</v>
      </c>
      <c r="C180" s="55">
        <v>73619</v>
      </c>
      <c r="D180" s="56" t="s">
        <v>395</v>
      </c>
      <c r="E180" s="57">
        <v>2</v>
      </c>
      <c r="H180" s="107">
        <f>+Tabla1[[#This Row],[CRÉDITOS]]-G180</f>
        <v>2</v>
      </c>
      <c r="I180" t="s">
        <v>1076</v>
      </c>
      <c r="J180" t="str">
        <f t="shared" si="2"/>
        <v>INTRODUCCIÓN AL SUPPLY CHAIN</v>
      </c>
    </row>
    <row r="181" spans="2:10" x14ac:dyDescent="0.25">
      <c r="B181" s="54" t="s">
        <v>107</v>
      </c>
      <c r="C181" s="67">
        <v>95108</v>
      </c>
      <c r="D181" s="69" t="s">
        <v>101</v>
      </c>
      <c r="E181" s="70">
        <v>2</v>
      </c>
      <c r="H181" s="107">
        <f>+Tabla1[[#This Row],[CRÉDITOS]]-G181</f>
        <v>2</v>
      </c>
      <c r="I181" t="s">
        <v>927</v>
      </c>
      <c r="J181" t="str">
        <f t="shared" si="2"/>
        <v>FILOSOFÍA INSTITUCIONAL</v>
      </c>
    </row>
    <row r="182" spans="2:10" x14ac:dyDescent="0.25">
      <c r="B182" s="54" t="s">
        <v>107</v>
      </c>
      <c r="C182" s="67">
        <v>96201</v>
      </c>
      <c r="D182" s="69" t="s">
        <v>242</v>
      </c>
      <c r="E182" s="70">
        <v>3</v>
      </c>
      <c r="H182" s="107">
        <f>+Tabla1[[#This Row],[CRÉDITOS]]-G182</f>
        <v>3</v>
      </c>
      <c r="I182" t="s">
        <v>985</v>
      </c>
      <c r="J182" t="str">
        <f t="shared" si="2"/>
        <v>QUÍMICA GENERAL</v>
      </c>
    </row>
    <row r="183" spans="2:10" ht="28.5" x14ac:dyDescent="0.25">
      <c r="B183" s="54" t="s">
        <v>107</v>
      </c>
      <c r="C183" s="67">
        <v>16924</v>
      </c>
      <c r="D183" s="69" t="s">
        <v>397</v>
      </c>
      <c r="E183" s="70">
        <v>2</v>
      </c>
      <c r="H183" s="107">
        <f>+Tabla1[[#This Row],[CRÉDITOS]]-G183</f>
        <v>2</v>
      </c>
      <c r="I183" t="s">
        <v>1077</v>
      </c>
      <c r="J183" t="str">
        <f t="shared" si="2"/>
        <v>PROCESOS LOGÍSTICOS DE APROVISIONAMIENTO</v>
      </c>
    </row>
    <row r="184" spans="2:10" x14ac:dyDescent="0.25">
      <c r="B184" s="54" t="s">
        <v>107</v>
      </c>
      <c r="C184" s="67">
        <v>73620</v>
      </c>
      <c r="D184" s="69" t="s">
        <v>351</v>
      </c>
      <c r="E184" s="70">
        <v>2</v>
      </c>
      <c r="H184" s="107">
        <f>+Tabla1[[#This Row],[CRÉDITOS]]-G184</f>
        <v>2</v>
      </c>
      <c r="I184" t="s">
        <v>1040</v>
      </c>
      <c r="J184" t="str">
        <f t="shared" si="2"/>
        <v>METODOLOGÍA DE LA INVESTIGACIÓN</v>
      </c>
    </row>
    <row r="185" spans="2:10" x14ac:dyDescent="0.25">
      <c r="B185" s="54" t="s">
        <v>107</v>
      </c>
      <c r="C185" s="67">
        <v>73621</v>
      </c>
      <c r="D185" s="69" t="s">
        <v>400</v>
      </c>
      <c r="E185" s="70">
        <v>2</v>
      </c>
      <c r="H185" s="107">
        <f>+Tabla1[[#This Row],[CRÉDITOS]]-G185</f>
        <v>2</v>
      </c>
      <c r="I185" t="s">
        <v>1078</v>
      </c>
      <c r="J185" t="str">
        <f t="shared" si="2"/>
        <v>FUNDAMENTOS DE CONTABILIDAD</v>
      </c>
    </row>
    <row r="186" spans="2:10" x14ac:dyDescent="0.25">
      <c r="B186" s="54" t="s">
        <v>107</v>
      </c>
      <c r="C186" s="67">
        <v>95109</v>
      </c>
      <c r="D186" s="69" t="s">
        <v>136</v>
      </c>
      <c r="E186" s="70">
        <v>2</v>
      </c>
      <c r="H186" s="107">
        <f>+Tabla1[[#This Row],[CRÉDITOS]]-G186</f>
        <v>2</v>
      </c>
      <c r="I186" t="s">
        <v>936</v>
      </c>
      <c r="J186" t="str">
        <f t="shared" si="2"/>
        <v>ANTROPOLOGÍA</v>
      </c>
    </row>
    <row r="187" spans="2:10" x14ac:dyDescent="0.25">
      <c r="B187" s="54" t="s">
        <v>107</v>
      </c>
      <c r="C187" s="67">
        <v>96110</v>
      </c>
      <c r="D187" s="69" t="s">
        <v>331</v>
      </c>
      <c r="E187" s="70">
        <v>3</v>
      </c>
      <c r="H187" s="107">
        <f>+Tabla1[[#This Row],[CRÉDITOS]]-G187</f>
        <v>3</v>
      </c>
      <c r="I187" t="s">
        <v>1029</v>
      </c>
      <c r="J187" t="str">
        <f t="shared" si="2"/>
        <v>CALCULO DIFERENCIAL</v>
      </c>
    </row>
    <row r="188" spans="2:10" x14ac:dyDescent="0.25">
      <c r="B188" s="54" t="s">
        <v>107</v>
      </c>
      <c r="C188" s="67">
        <v>96111</v>
      </c>
      <c r="D188" s="69" t="s">
        <v>333</v>
      </c>
      <c r="E188" s="70">
        <v>3</v>
      </c>
      <c r="H188" s="107">
        <f>+Tabla1[[#This Row],[CRÉDITOS]]-G188</f>
        <v>3</v>
      </c>
      <c r="I188" t="s">
        <v>1030</v>
      </c>
      <c r="J188" t="str">
        <f t="shared" si="2"/>
        <v>ALGEBRA LINEAL</v>
      </c>
    </row>
    <row r="189" spans="2:10" x14ac:dyDescent="0.25">
      <c r="B189" s="54" t="s">
        <v>107</v>
      </c>
      <c r="C189" s="67">
        <v>96112</v>
      </c>
      <c r="D189" s="69" t="s">
        <v>235</v>
      </c>
      <c r="E189" s="70">
        <v>3</v>
      </c>
      <c r="H189" s="107">
        <f>+Tabla1[[#This Row],[CRÉDITOS]]-G189</f>
        <v>3</v>
      </c>
      <c r="I189" t="s">
        <v>981</v>
      </c>
      <c r="J189" t="str">
        <f t="shared" si="2"/>
        <v>FÍSICA MECÁNICA</v>
      </c>
    </row>
    <row r="190" spans="2:10" x14ac:dyDescent="0.25">
      <c r="B190" s="54" t="s">
        <v>107</v>
      </c>
      <c r="C190" s="67">
        <v>16664</v>
      </c>
      <c r="D190" s="69" t="s">
        <v>143</v>
      </c>
      <c r="E190" s="70">
        <v>2</v>
      </c>
      <c r="H190" s="107">
        <f>+Tabla1[[#This Row],[CRÉDITOS]]-G190</f>
        <v>2</v>
      </c>
      <c r="I190" t="s">
        <v>938</v>
      </c>
      <c r="J190" t="str">
        <f t="shared" si="2"/>
        <v>MICROECONOMÍA</v>
      </c>
    </row>
    <row r="191" spans="2:10" x14ac:dyDescent="0.25">
      <c r="B191" s="54" t="s">
        <v>107</v>
      </c>
      <c r="C191" s="55">
        <v>16915</v>
      </c>
      <c r="D191" s="56" t="s">
        <v>402</v>
      </c>
      <c r="E191" s="57">
        <v>2</v>
      </c>
      <c r="H191" s="107">
        <f>+Tabla1[[#This Row],[CRÉDITOS]]-G191</f>
        <v>2</v>
      </c>
      <c r="I191" t="s">
        <v>1079</v>
      </c>
      <c r="J191" t="str">
        <f t="shared" si="2"/>
        <v>GESTIÓN DE CENTROS LOGÍSTICOS</v>
      </c>
    </row>
    <row r="192" spans="2:10" x14ac:dyDescent="0.25">
      <c r="B192" s="54" t="s">
        <v>107</v>
      </c>
      <c r="C192" s="67">
        <v>73622</v>
      </c>
      <c r="D192" s="69" t="s">
        <v>369</v>
      </c>
      <c r="E192" s="70">
        <v>2</v>
      </c>
      <c r="H192" s="107">
        <f>+Tabla1[[#This Row],[CRÉDITOS]]-G192</f>
        <v>2</v>
      </c>
      <c r="I192" t="s">
        <v>1052</v>
      </c>
      <c r="J192" t="str">
        <f t="shared" si="2"/>
        <v>MÉTODOS Y TÉCNICAS DE INVESTIGACIÓN</v>
      </c>
    </row>
    <row r="193" spans="2:10" x14ac:dyDescent="0.25">
      <c r="B193" s="54" t="s">
        <v>107</v>
      </c>
      <c r="C193" s="67">
        <v>73658</v>
      </c>
      <c r="D193" s="69" t="s">
        <v>347</v>
      </c>
      <c r="E193" s="70">
        <v>3</v>
      </c>
      <c r="H193" s="107">
        <f>+Tabla1[[#This Row],[CRÉDITOS]]-G193</f>
        <v>3</v>
      </c>
      <c r="I193" t="s">
        <v>1038</v>
      </c>
      <c r="J193" t="str">
        <f t="shared" si="2"/>
        <v>ELECTRICIDAD Y MAGNETISMO</v>
      </c>
    </row>
    <row r="194" spans="2:10" x14ac:dyDescent="0.25">
      <c r="B194" s="54" t="s">
        <v>107</v>
      </c>
      <c r="C194" s="67">
        <v>95110</v>
      </c>
      <c r="D194" s="69" t="s">
        <v>160</v>
      </c>
      <c r="E194" s="70">
        <v>2</v>
      </c>
      <c r="H194" s="107">
        <f>+Tabla1[[#This Row],[CRÉDITOS]]-G194</f>
        <v>2</v>
      </c>
      <c r="I194" t="s">
        <v>945</v>
      </c>
      <c r="J194" t="str">
        <f t="shared" si="2"/>
        <v>EPISTEMOLOGÍA</v>
      </c>
    </row>
    <row r="195" spans="2:10" x14ac:dyDescent="0.25">
      <c r="B195" s="54" t="s">
        <v>107</v>
      </c>
      <c r="C195" s="67">
        <v>96113</v>
      </c>
      <c r="D195" s="69" t="s">
        <v>337</v>
      </c>
      <c r="E195" s="70">
        <v>3</v>
      </c>
      <c r="H195" s="107">
        <f>+Tabla1[[#This Row],[CRÉDITOS]]-G195</f>
        <v>3</v>
      </c>
      <c r="I195" t="s">
        <v>1032</v>
      </c>
      <c r="J195" t="str">
        <f t="shared" si="2"/>
        <v>CALCULO INTEGRAL</v>
      </c>
    </row>
    <row r="196" spans="2:10" x14ac:dyDescent="0.25">
      <c r="B196" s="54" t="s">
        <v>107</v>
      </c>
      <c r="C196" s="67">
        <v>96303</v>
      </c>
      <c r="D196" s="69" t="s">
        <v>255</v>
      </c>
      <c r="E196" s="70">
        <v>3</v>
      </c>
      <c r="H196" s="107">
        <f>+Tabla1[[#This Row],[CRÉDITOS]]-G196</f>
        <v>3</v>
      </c>
      <c r="I196" t="s">
        <v>993</v>
      </c>
      <c r="J196" t="str">
        <f t="shared" ref="J196:J259" si="3">+UPPER(I196)</f>
        <v>LÓGICA DE PROGRAMACIÓN</v>
      </c>
    </row>
    <row r="197" spans="2:10" x14ac:dyDescent="0.25">
      <c r="B197" s="54" t="s">
        <v>107</v>
      </c>
      <c r="C197" s="67">
        <v>16570</v>
      </c>
      <c r="D197" s="69" t="s">
        <v>66</v>
      </c>
      <c r="E197" s="70">
        <v>2</v>
      </c>
      <c r="H197" s="107">
        <f>+Tabla1[[#This Row],[CRÉDITOS]]-G197</f>
        <v>2</v>
      </c>
      <c r="I197" t="s">
        <v>922</v>
      </c>
      <c r="J197" t="str">
        <f t="shared" si="3"/>
        <v>INGLÉS I</v>
      </c>
    </row>
    <row r="198" spans="2:10" x14ac:dyDescent="0.25">
      <c r="B198" s="54" t="s">
        <v>107</v>
      </c>
      <c r="C198" s="67">
        <v>16675</v>
      </c>
      <c r="D198" s="69" t="s">
        <v>165</v>
      </c>
      <c r="E198" s="70">
        <v>2</v>
      </c>
      <c r="H198" s="107">
        <f>+Tabla1[[#This Row],[CRÉDITOS]]-G198</f>
        <v>2</v>
      </c>
      <c r="I198" t="s">
        <v>947</v>
      </c>
      <c r="J198" t="str">
        <f t="shared" si="3"/>
        <v>MACROECONOMÍA</v>
      </c>
    </row>
    <row r="199" spans="2:10" x14ac:dyDescent="0.25">
      <c r="B199" s="54" t="s">
        <v>107</v>
      </c>
      <c r="C199" s="55">
        <v>31038</v>
      </c>
      <c r="D199" s="56" t="s">
        <v>407</v>
      </c>
      <c r="E199" s="57">
        <v>2</v>
      </c>
      <c r="H199" s="107">
        <f>+Tabla1[[#This Row],[CRÉDITOS]]-G199</f>
        <v>2</v>
      </c>
      <c r="I199" t="s">
        <v>1080</v>
      </c>
      <c r="J199" t="str">
        <f t="shared" si="3"/>
        <v>ESTADÍSTICA I</v>
      </c>
    </row>
    <row r="200" spans="2:10" x14ac:dyDescent="0.25">
      <c r="B200" s="54" t="s">
        <v>107</v>
      </c>
      <c r="C200" s="67">
        <v>73349</v>
      </c>
      <c r="D200" s="69" t="s">
        <v>408</v>
      </c>
      <c r="E200" s="70">
        <v>2</v>
      </c>
      <c r="H200" s="107">
        <f>+Tabla1[[#This Row],[CRÉDITOS]]-G200</f>
        <v>2</v>
      </c>
      <c r="I200" t="s">
        <v>1081</v>
      </c>
      <c r="J200" t="str">
        <f t="shared" si="3"/>
        <v>FUNDAMENTOS DE MERCADEO</v>
      </c>
    </row>
    <row r="201" spans="2:10" x14ac:dyDescent="0.25">
      <c r="B201" s="54" t="s">
        <v>107</v>
      </c>
      <c r="C201" s="55">
        <v>73623</v>
      </c>
      <c r="D201" s="56" t="s">
        <v>409</v>
      </c>
      <c r="E201" s="57">
        <v>2</v>
      </c>
      <c r="H201" s="107">
        <f>+Tabla1[[#This Row],[CRÉDITOS]]-G201</f>
        <v>2</v>
      </c>
      <c r="I201" t="s">
        <v>1082</v>
      </c>
      <c r="J201" t="str">
        <f t="shared" si="3"/>
        <v>LOGÍSTICA DE SERVICIOS</v>
      </c>
    </row>
    <row r="202" spans="2:10" x14ac:dyDescent="0.25">
      <c r="B202" s="54" t="s">
        <v>107</v>
      </c>
      <c r="C202" s="67">
        <v>95111</v>
      </c>
      <c r="D202" s="69" t="s">
        <v>184</v>
      </c>
      <c r="E202" s="70">
        <v>2</v>
      </c>
      <c r="H202" s="107">
        <f>+Tabla1[[#This Row],[CRÉDITOS]]-G202</f>
        <v>2</v>
      </c>
      <c r="I202" t="s">
        <v>953</v>
      </c>
      <c r="J202" t="str">
        <f t="shared" si="3"/>
        <v>CULTURA TEOLÓGICA</v>
      </c>
    </row>
    <row r="203" spans="2:10" x14ac:dyDescent="0.25">
      <c r="B203" s="54" t="s">
        <v>107</v>
      </c>
      <c r="C203" s="67">
        <v>96115</v>
      </c>
      <c r="D203" s="69" t="s">
        <v>345</v>
      </c>
      <c r="E203" s="70">
        <v>3</v>
      </c>
      <c r="H203" s="107">
        <f>+Tabla1[[#This Row],[CRÉDITOS]]-G203</f>
        <v>3</v>
      </c>
      <c r="I203" t="s">
        <v>1037</v>
      </c>
      <c r="J203" t="str">
        <f t="shared" si="3"/>
        <v>CALCULO VECTORIAL</v>
      </c>
    </row>
    <row r="204" spans="2:10" x14ac:dyDescent="0.25">
      <c r="B204" s="54" t="s">
        <v>107</v>
      </c>
      <c r="C204" s="67">
        <v>16571</v>
      </c>
      <c r="D204" s="69" t="s">
        <v>108</v>
      </c>
      <c r="E204" s="70">
        <v>2</v>
      </c>
      <c r="H204" s="107">
        <f>+Tabla1[[#This Row],[CRÉDITOS]]-G204</f>
        <v>2</v>
      </c>
      <c r="I204" t="s">
        <v>986</v>
      </c>
      <c r="J204" t="str">
        <f t="shared" si="3"/>
        <v>INGLÉS II</v>
      </c>
    </row>
    <row r="205" spans="2:10" x14ac:dyDescent="0.25">
      <c r="B205" s="54" t="s">
        <v>107</v>
      </c>
      <c r="C205" s="67">
        <v>16695</v>
      </c>
      <c r="D205" s="69" t="s">
        <v>363</v>
      </c>
      <c r="E205" s="70">
        <v>2</v>
      </c>
      <c r="H205" s="107">
        <f>+Tabla1[[#This Row],[CRÉDITOS]]-G205</f>
        <v>2</v>
      </c>
      <c r="I205" t="s">
        <v>1048</v>
      </c>
      <c r="J205" t="str">
        <f t="shared" si="3"/>
        <v>TRABAJO COMUNITARIO I</v>
      </c>
    </row>
    <row r="206" spans="2:10" x14ac:dyDescent="0.25">
      <c r="B206" s="54" t="s">
        <v>107</v>
      </c>
      <c r="C206" s="67">
        <v>16866</v>
      </c>
      <c r="D206" s="69" t="s">
        <v>411</v>
      </c>
      <c r="E206" s="70">
        <v>3</v>
      </c>
      <c r="H206" s="107">
        <f>+Tabla1[[#This Row],[CRÉDITOS]]-G206</f>
        <v>3</v>
      </c>
      <c r="I206" t="s">
        <v>1083</v>
      </c>
      <c r="J206" t="str">
        <f t="shared" si="3"/>
        <v>INVESTIGACIÓN DE OPERACIONES I</v>
      </c>
    </row>
    <row r="207" spans="2:10" x14ac:dyDescent="0.25">
      <c r="B207" s="54" t="s">
        <v>107</v>
      </c>
      <c r="C207" s="67">
        <v>31039</v>
      </c>
      <c r="D207" s="69" t="s">
        <v>412</v>
      </c>
      <c r="E207" s="70">
        <v>2</v>
      </c>
      <c r="H207" s="107">
        <f>+Tabla1[[#This Row],[CRÉDITOS]]-G207</f>
        <v>2</v>
      </c>
      <c r="I207" t="s">
        <v>1084</v>
      </c>
      <c r="J207" t="str">
        <f t="shared" si="3"/>
        <v>ESTADÍSTICA II</v>
      </c>
    </row>
    <row r="208" spans="2:10" x14ac:dyDescent="0.25">
      <c r="B208" s="54" t="s">
        <v>107</v>
      </c>
      <c r="C208" s="55">
        <v>73624</v>
      </c>
      <c r="D208" s="56" t="s">
        <v>153</v>
      </c>
      <c r="E208" s="57">
        <v>2</v>
      </c>
      <c r="H208" s="107">
        <f>+Tabla1[[#This Row],[CRÉDITOS]]-G208</f>
        <v>2</v>
      </c>
      <c r="I208" t="s">
        <v>943</v>
      </c>
      <c r="J208" t="str">
        <f t="shared" si="3"/>
        <v>COSTOS Y PRESUPUESTOS</v>
      </c>
    </row>
    <row r="209" spans="2:10" x14ac:dyDescent="0.25">
      <c r="B209" s="54" t="s">
        <v>107</v>
      </c>
      <c r="C209" s="67">
        <v>73625</v>
      </c>
      <c r="D209" s="69" t="s">
        <v>414</v>
      </c>
      <c r="E209" s="70">
        <v>3</v>
      </c>
      <c r="H209" s="107">
        <f>+Tabla1[[#This Row],[CRÉDITOS]]-G209</f>
        <v>3</v>
      </c>
      <c r="I209" t="s">
        <v>1085</v>
      </c>
      <c r="J209" t="str">
        <f t="shared" si="3"/>
        <v>PROYECTO I</v>
      </c>
    </row>
    <row r="210" spans="2:10" x14ac:dyDescent="0.25">
      <c r="B210" s="54" t="s">
        <v>107</v>
      </c>
      <c r="C210" s="67">
        <v>96117</v>
      </c>
      <c r="D210" s="69" t="s">
        <v>261</v>
      </c>
      <c r="E210" s="70">
        <v>3</v>
      </c>
      <c r="H210" s="107">
        <f>+Tabla1[[#This Row],[CRÉDITOS]]-G210</f>
        <v>3</v>
      </c>
      <c r="I210" t="s">
        <v>998</v>
      </c>
      <c r="J210" t="str">
        <f t="shared" si="3"/>
        <v>ECUACIONES DIFERENCIALES</v>
      </c>
    </row>
    <row r="211" spans="2:10" x14ac:dyDescent="0.25">
      <c r="B211" s="54" t="s">
        <v>107</v>
      </c>
      <c r="C211" s="67">
        <v>16572</v>
      </c>
      <c r="D211" s="69" t="s">
        <v>139</v>
      </c>
      <c r="E211" s="70">
        <v>2</v>
      </c>
      <c r="H211" s="107">
        <f>+Tabla1[[#This Row],[CRÉDITOS]]-G211</f>
        <v>2</v>
      </c>
      <c r="I211" t="s">
        <v>937</v>
      </c>
      <c r="J211" t="str">
        <f t="shared" si="3"/>
        <v>INGLÉS III</v>
      </c>
    </row>
    <row r="212" spans="2:10" x14ac:dyDescent="0.25">
      <c r="B212" s="54" t="s">
        <v>107</v>
      </c>
      <c r="C212" s="67">
        <v>16868</v>
      </c>
      <c r="D212" s="69" t="s">
        <v>416</v>
      </c>
      <c r="E212" s="70">
        <v>3</v>
      </c>
      <c r="H212" s="107">
        <f>+Tabla1[[#This Row],[CRÉDITOS]]-G212</f>
        <v>3</v>
      </c>
      <c r="I212" t="s">
        <v>1086</v>
      </c>
      <c r="J212" t="str">
        <f t="shared" si="3"/>
        <v>INVESTIGACIÓN DE OPERACIONES II</v>
      </c>
    </row>
    <row r="213" spans="2:10" x14ac:dyDescent="0.25">
      <c r="B213" s="54" t="s">
        <v>107</v>
      </c>
      <c r="C213" s="67">
        <v>16916</v>
      </c>
      <c r="D213" s="69" t="s">
        <v>417</v>
      </c>
      <c r="E213" s="70">
        <v>3</v>
      </c>
      <c r="H213" s="107">
        <f>+Tabla1[[#This Row],[CRÉDITOS]]-G213</f>
        <v>3</v>
      </c>
      <c r="I213" t="s">
        <v>1087</v>
      </c>
      <c r="J213" t="str">
        <f t="shared" si="3"/>
        <v>GESTIÓN LOGÍSTICA DE INVENTARIOS</v>
      </c>
    </row>
    <row r="214" spans="2:10" x14ac:dyDescent="0.25">
      <c r="B214" s="54" t="s">
        <v>107</v>
      </c>
      <c r="C214" s="67">
        <v>73360</v>
      </c>
      <c r="D214" s="69" t="s">
        <v>419</v>
      </c>
      <c r="E214" s="70">
        <v>2</v>
      </c>
      <c r="H214" s="107">
        <f>+Tabla1[[#This Row],[CRÉDITOS]]-G214</f>
        <v>2</v>
      </c>
      <c r="I214" t="s">
        <v>1088</v>
      </c>
      <c r="J214" t="str">
        <f t="shared" si="3"/>
        <v>ANÁLISIS FINANCIERO</v>
      </c>
    </row>
    <row r="215" spans="2:10" x14ac:dyDescent="0.25">
      <c r="B215" s="54" t="s">
        <v>107</v>
      </c>
      <c r="C215" s="55">
        <v>73626</v>
      </c>
      <c r="D215" s="56" t="s">
        <v>429</v>
      </c>
      <c r="E215" s="57">
        <v>3</v>
      </c>
      <c r="H215" s="107">
        <f>+Tabla1[[#This Row],[CRÉDITOS]]-G215</f>
        <v>3</v>
      </c>
      <c r="I215" t="s">
        <v>1089</v>
      </c>
      <c r="J215" t="str">
        <f t="shared" si="3"/>
        <v>PROFUNDIZACIÓN</v>
      </c>
    </row>
    <row r="216" spans="2:10" x14ac:dyDescent="0.25">
      <c r="B216" s="54" t="s">
        <v>107</v>
      </c>
      <c r="C216" s="55">
        <v>73627</v>
      </c>
      <c r="D216" s="56" t="s">
        <v>295</v>
      </c>
      <c r="E216" s="57">
        <v>3</v>
      </c>
      <c r="H216" s="107">
        <f>+Tabla1[[#This Row],[CRÉDITOS]]-G216</f>
        <v>3</v>
      </c>
      <c r="I216" t="s">
        <v>1014</v>
      </c>
      <c r="J216" t="str">
        <f t="shared" si="3"/>
        <v>CÁTEDRA OPCIONAL COMPLEMENTARIA</v>
      </c>
    </row>
    <row r="217" spans="2:10" x14ac:dyDescent="0.25">
      <c r="B217" s="54" t="s">
        <v>107</v>
      </c>
      <c r="C217" s="67">
        <v>16573</v>
      </c>
      <c r="D217" s="69" t="s">
        <v>163</v>
      </c>
      <c r="E217" s="70">
        <v>2</v>
      </c>
      <c r="H217" s="107">
        <f>+Tabla1[[#This Row],[CRÉDITOS]]-G217</f>
        <v>2</v>
      </c>
      <c r="I217" t="s">
        <v>946</v>
      </c>
      <c r="J217" t="str">
        <f t="shared" si="3"/>
        <v>INGLÉS IV</v>
      </c>
    </row>
    <row r="218" spans="2:10" x14ac:dyDescent="0.25">
      <c r="B218" s="54" t="s">
        <v>107</v>
      </c>
      <c r="C218" s="67">
        <v>73628</v>
      </c>
      <c r="D218" s="69" t="s">
        <v>424</v>
      </c>
      <c r="E218" s="70">
        <v>3</v>
      </c>
      <c r="H218" s="107">
        <f>+Tabla1[[#This Row],[CRÉDITOS]]-G218</f>
        <v>3</v>
      </c>
      <c r="I218" t="s">
        <v>1090</v>
      </c>
      <c r="J218" t="str">
        <f t="shared" si="3"/>
        <v>PLANEACIÓN DE VENTAS Y OPERACIONES</v>
      </c>
    </row>
    <row r="219" spans="2:10" x14ac:dyDescent="0.25">
      <c r="B219" s="54" t="s">
        <v>107</v>
      </c>
      <c r="C219" s="67">
        <v>73629</v>
      </c>
      <c r="D219" s="69" t="s">
        <v>425</v>
      </c>
      <c r="E219" s="70">
        <v>2</v>
      </c>
      <c r="H219" s="107">
        <f>+Tabla1[[#This Row],[CRÉDITOS]]-G219</f>
        <v>2</v>
      </c>
      <c r="I219" t="s">
        <v>1091</v>
      </c>
      <c r="J219" t="str">
        <f t="shared" si="3"/>
        <v>GESTIÓN DE MEDIOS Y MODOS TRANSPORTE</v>
      </c>
    </row>
    <row r="220" spans="2:10" x14ac:dyDescent="0.25">
      <c r="B220" s="54" t="s">
        <v>107</v>
      </c>
      <c r="C220" s="67">
        <v>73630</v>
      </c>
      <c r="D220" s="69" t="s">
        <v>427</v>
      </c>
      <c r="E220" s="70">
        <v>3</v>
      </c>
      <c r="H220" s="107">
        <f>+Tabla1[[#This Row],[CRÉDITOS]]-G220</f>
        <v>3</v>
      </c>
      <c r="I220" t="s">
        <v>1092</v>
      </c>
      <c r="J220" t="str">
        <f t="shared" si="3"/>
        <v>SIMULACIÓN DE OPERACIONES</v>
      </c>
    </row>
    <row r="221" spans="2:10" x14ac:dyDescent="0.25">
      <c r="B221" s="54" t="s">
        <v>107</v>
      </c>
      <c r="C221" s="67">
        <v>73631</v>
      </c>
      <c r="D221" s="69" t="s">
        <v>429</v>
      </c>
      <c r="E221" s="70">
        <v>3</v>
      </c>
      <c r="H221" s="107">
        <f>+Tabla1[[#This Row],[CRÉDITOS]]-G221</f>
        <v>3</v>
      </c>
      <c r="I221" t="s">
        <v>1089</v>
      </c>
      <c r="J221" t="str">
        <f t="shared" si="3"/>
        <v>PROFUNDIZACIÓN</v>
      </c>
    </row>
    <row r="222" spans="2:10" x14ac:dyDescent="0.25">
      <c r="B222" s="54" t="s">
        <v>107</v>
      </c>
      <c r="C222" s="67">
        <v>73632</v>
      </c>
      <c r="D222" s="69" t="s">
        <v>295</v>
      </c>
      <c r="E222" s="70">
        <v>3</v>
      </c>
      <c r="H222" s="107">
        <f>+Tabla1[[#This Row],[CRÉDITOS]]-G222</f>
        <v>3</v>
      </c>
      <c r="I222" t="s">
        <v>1014</v>
      </c>
      <c r="J222" t="str">
        <f t="shared" si="3"/>
        <v>CÁTEDRA OPCIONAL COMPLEMENTARIA</v>
      </c>
    </row>
    <row r="223" spans="2:10" x14ac:dyDescent="0.25">
      <c r="B223" s="54" t="s">
        <v>107</v>
      </c>
      <c r="C223" s="67">
        <v>73633</v>
      </c>
      <c r="D223" s="69" t="s">
        <v>201</v>
      </c>
      <c r="E223" s="70">
        <v>2</v>
      </c>
      <c r="H223" s="107">
        <f>+Tabla1[[#This Row],[CRÉDITOS]]-G223</f>
        <v>2</v>
      </c>
      <c r="I223" t="s">
        <v>960</v>
      </c>
      <c r="J223" t="str">
        <f t="shared" si="3"/>
        <v>INGLÉS V</v>
      </c>
    </row>
    <row r="224" spans="2:10" x14ac:dyDescent="0.25">
      <c r="B224" s="54" t="s">
        <v>107</v>
      </c>
      <c r="C224" s="67">
        <v>73634</v>
      </c>
      <c r="D224" s="69" t="s">
        <v>433</v>
      </c>
      <c r="E224" s="70">
        <v>3</v>
      </c>
      <c r="H224" s="107">
        <f>+Tabla1[[#This Row],[CRÉDITOS]]-G224</f>
        <v>3</v>
      </c>
      <c r="I224" t="s">
        <v>1093</v>
      </c>
      <c r="J224" t="str">
        <f t="shared" si="3"/>
        <v>PLANEACIÓN Y CONTROL DE LA PRODUCCIÓN</v>
      </c>
    </row>
    <row r="225" spans="2:10" x14ac:dyDescent="0.25">
      <c r="B225" s="54" t="s">
        <v>107</v>
      </c>
      <c r="C225" s="67">
        <v>73635</v>
      </c>
      <c r="D225" s="69" t="s">
        <v>434</v>
      </c>
      <c r="E225" s="70">
        <v>3</v>
      </c>
      <c r="H225" s="107">
        <f>+Tabla1[[#This Row],[CRÉDITOS]]-G225</f>
        <v>3</v>
      </c>
      <c r="I225" t="s">
        <v>1094</v>
      </c>
      <c r="J225" t="str">
        <f t="shared" si="3"/>
        <v>OPCIONAL INSTITUCIONAL</v>
      </c>
    </row>
    <row r="226" spans="2:10" x14ac:dyDescent="0.25">
      <c r="B226" s="54" t="s">
        <v>107</v>
      </c>
      <c r="C226" s="67">
        <v>73636</v>
      </c>
      <c r="D226" s="69" t="s">
        <v>429</v>
      </c>
      <c r="E226" s="70">
        <v>3</v>
      </c>
      <c r="H226" s="107">
        <f>+Tabla1[[#This Row],[CRÉDITOS]]-G226</f>
        <v>3</v>
      </c>
      <c r="I226" t="s">
        <v>1089</v>
      </c>
      <c r="J226" t="str">
        <f t="shared" si="3"/>
        <v>PROFUNDIZACIÓN</v>
      </c>
    </row>
    <row r="227" spans="2:10" x14ac:dyDescent="0.25">
      <c r="B227" s="54" t="s">
        <v>107</v>
      </c>
      <c r="C227" s="67">
        <v>73637</v>
      </c>
      <c r="D227" s="69" t="s">
        <v>295</v>
      </c>
      <c r="E227" s="70">
        <v>3</v>
      </c>
      <c r="H227" s="107">
        <f>+Tabla1[[#This Row],[CRÉDITOS]]-G227</f>
        <v>3</v>
      </c>
      <c r="I227" t="s">
        <v>1014</v>
      </c>
      <c r="J227" t="str">
        <f t="shared" si="3"/>
        <v>CÁTEDRA OPCIONAL COMPLEMENTARIA</v>
      </c>
    </row>
    <row r="228" spans="2:10" x14ac:dyDescent="0.25">
      <c r="B228" s="54" t="s">
        <v>107</v>
      </c>
      <c r="C228" s="67">
        <v>95112</v>
      </c>
      <c r="D228" s="69" t="s">
        <v>202</v>
      </c>
      <c r="E228" s="70">
        <v>2</v>
      </c>
      <c r="H228" s="107">
        <f>+Tabla1[[#This Row],[CRÉDITOS]]-G228</f>
        <v>2</v>
      </c>
      <c r="I228" t="s">
        <v>961</v>
      </c>
      <c r="J228" t="str">
        <f t="shared" si="3"/>
        <v>FILOSOFÍA POLÍTICA</v>
      </c>
    </row>
    <row r="229" spans="2:10" x14ac:dyDescent="0.25">
      <c r="B229" s="54" t="s">
        <v>107</v>
      </c>
      <c r="C229" s="67">
        <v>16698</v>
      </c>
      <c r="D229" s="69" t="s">
        <v>374</v>
      </c>
      <c r="E229" s="70">
        <v>2</v>
      </c>
      <c r="H229" s="107">
        <f>+Tabla1[[#This Row],[CRÉDITOS]]-G229</f>
        <v>2</v>
      </c>
      <c r="I229" t="s">
        <v>1059</v>
      </c>
      <c r="J229" t="str">
        <f t="shared" si="3"/>
        <v>TRABAJO COMUNITARIO II</v>
      </c>
    </row>
    <row r="230" spans="2:10" x14ac:dyDescent="0.25">
      <c r="B230" s="54" t="s">
        <v>107</v>
      </c>
      <c r="C230" s="67">
        <v>16937</v>
      </c>
      <c r="D230" s="69" t="s">
        <v>439</v>
      </c>
      <c r="E230" s="70">
        <v>2</v>
      </c>
      <c r="H230" s="107">
        <f>+Tabla1[[#This Row],[CRÉDITOS]]-G230</f>
        <v>2</v>
      </c>
      <c r="I230" t="s">
        <v>1095</v>
      </c>
      <c r="J230" t="str">
        <f t="shared" si="3"/>
        <v>ASPECTOS JURÍDICOS LOGÍSTICOS</v>
      </c>
    </row>
    <row r="231" spans="2:10" x14ac:dyDescent="0.25">
      <c r="B231" s="54" t="s">
        <v>107</v>
      </c>
      <c r="C231" s="67">
        <v>73638</v>
      </c>
      <c r="D231" s="69" t="s">
        <v>213</v>
      </c>
      <c r="E231" s="70">
        <v>2</v>
      </c>
      <c r="H231" s="107">
        <f>+Tabla1[[#This Row],[CRÉDITOS]]-G231</f>
        <v>2</v>
      </c>
      <c r="I231" t="s">
        <v>968</v>
      </c>
      <c r="J231" t="str">
        <f t="shared" si="3"/>
        <v>INGLÉS VI</v>
      </c>
    </row>
    <row r="232" spans="2:10" x14ac:dyDescent="0.25">
      <c r="B232" s="54" t="s">
        <v>107</v>
      </c>
      <c r="C232" s="55">
        <v>73639</v>
      </c>
      <c r="D232" s="56" t="s">
        <v>441</v>
      </c>
      <c r="E232" s="57">
        <v>2</v>
      </c>
      <c r="H232" s="107">
        <f>+Tabla1[[#This Row],[CRÉDITOS]]-G232</f>
        <v>2</v>
      </c>
      <c r="I232" t="s">
        <v>1096</v>
      </c>
      <c r="J232" t="str">
        <f t="shared" si="3"/>
        <v>GERENCIA DE REDES LOGÍSTICAS</v>
      </c>
    </row>
    <row r="233" spans="2:10" x14ac:dyDescent="0.25">
      <c r="B233" s="54" t="s">
        <v>107</v>
      </c>
      <c r="C233" s="67">
        <v>73640</v>
      </c>
      <c r="D233" s="69" t="s">
        <v>443</v>
      </c>
      <c r="E233" s="70">
        <v>2</v>
      </c>
      <c r="H233" s="107">
        <f>+Tabla1[[#This Row],[CRÉDITOS]]-G233</f>
        <v>2</v>
      </c>
      <c r="I233" t="s">
        <v>1097</v>
      </c>
      <c r="J233" t="str">
        <f t="shared" si="3"/>
        <v>PROCESOS LOGÍSTICOS DE RETORNO</v>
      </c>
    </row>
    <row r="234" spans="2:10" x14ac:dyDescent="0.25">
      <c r="B234" s="54" t="s">
        <v>107</v>
      </c>
      <c r="C234" s="67">
        <v>73641</v>
      </c>
      <c r="D234" s="69" t="s">
        <v>429</v>
      </c>
      <c r="E234" s="70">
        <v>3</v>
      </c>
      <c r="H234" s="107">
        <f>+Tabla1[[#This Row],[CRÉDITOS]]-G234</f>
        <v>3</v>
      </c>
      <c r="I234" t="s">
        <v>1089</v>
      </c>
      <c r="J234" t="str">
        <f t="shared" si="3"/>
        <v>PROFUNDIZACIÓN</v>
      </c>
    </row>
    <row r="235" spans="2:10" x14ac:dyDescent="0.25">
      <c r="B235" s="54" t="s">
        <v>107</v>
      </c>
      <c r="C235" s="67">
        <v>73642</v>
      </c>
      <c r="D235" s="69" t="s">
        <v>295</v>
      </c>
      <c r="E235" s="70">
        <v>3</v>
      </c>
      <c r="H235" s="107">
        <f>+Tabla1[[#This Row],[CRÉDITOS]]-G235</f>
        <v>3</v>
      </c>
      <c r="I235" t="s">
        <v>1014</v>
      </c>
      <c r="J235" t="str">
        <f t="shared" si="3"/>
        <v>CÁTEDRA OPCIONAL COMPLEMENTARIA</v>
      </c>
    </row>
    <row r="236" spans="2:10" x14ac:dyDescent="0.25">
      <c r="B236" s="54" t="s">
        <v>107</v>
      </c>
      <c r="C236" s="55">
        <v>73643</v>
      </c>
      <c r="D236" s="56" t="s">
        <v>446</v>
      </c>
      <c r="E236" s="57">
        <v>2</v>
      </c>
      <c r="H236" s="107">
        <f>+Tabla1[[#This Row],[CRÉDITOS]]-G236</f>
        <v>2</v>
      </c>
      <c r="I236" t="s">
        <v>1098</v>
      </c>
      <c r="J236" t="str">
        <f t="shared" si="3"/>
        <v>INTERNATIONAL BUSINESS</v>
      </c>
    </row>
    <row r="237" spans="2:10" x14ac:dyDescent="0.25">
      <c r="B237" s="54" t="s">
        <v>107</v>
      </c>
      <c r="C237" s="67">
        <v>73644</v>
      </c>
      <c r="D237" s="69" t="s">
        <v>447</v>
      </c>
      <c r="E237" s="70">
        <v>2</v>
      </c>
      <c r="H237" s="107">
        <f>+Tabla1[[#This Row],[CRÉDITOS]]-G237</f>
        <v>2</v>
      </c>
      <c r="I237" t="s">
        <v>1099</v>
      </c>
      <c r="J237" t="str">
        <f t="shared" si="3"/>
        <v>DIRECCIÓN DE OPERACIONES</v>
      </c>
    </row>
    <row r="238" spans="2:10" x14ac:dyDescent="0.25">
      <c r="B238" s="54" t="s">
        <v>107</v>
      </c>
      <c r="C238" s="67">
        <v>73645</v>
      </c>
      <c r="D238" s="69" t="s">
        <v>429</v>
      </c>
      <c r="E238" s="70">
        <v>3</v>
      </c>
      <c r="H238" s="107">
        <f>+Tabla1[[#This Row],[CRÉDITOS]]-G238</f>
        <v>3</v>
      </c>
      <c r="I238" t="s">
        <v>1089</v>
      </c>
      <c r="J238" t="str">
        <f t="shared" si="3"/>
        <v>PROFUNDIZACIÓN</v>
      </c>
    </row>
    <row r="239" spans="2:10" x14ac:dyDescent="0.25">
      <c r="B239" s="54" t="s">
        <v>107</v>
      </c>
      <c r="C239" s="67">
        <v>73646</v>
      </c>
      <c r="D239" s="69" t="s">
        <v>450</v>
      </c>
      <c r="E239" s="70">
        <v>4</v>
      </c>
      <c r="H239" s="107">
        <f>+Tabla1[[#This Row],[CRÉDITOS]]-G239</f>
        <v>4</v>
      </c>
      <c r="I239" t="s">
        <v>1100</v>
      </c>
      <c r="J239" t="str">
        <f t="shared" si="3"/>
        <v>PROYECTO II</v>
      </c>
    </row>
    <row r="240" spans="2:10" x14ac:dyDescent="0.25">
      <c r="B240" s="54" t="s">
        <v>107</v>
      </c>
      <c r="C240" s="67">
        <v>73647</v>
      </c>
      <c r="D240" s="69" t="s">
        <v>295</v>
      </c>
      <c r="E240" s="70">
        <v>3</v>
      </c>
      <c r="H240" s="107">
        <f>+Tabla1[[#This Row],[CRÉDITOS]]-G240</f>
        <v>3</v>
      </c>
      <c r="I240" t="s">
        <v>1014</v>
      </c>
      <c r="J240" t="str">
        <f t="shared" si="3"/>
        <v>CÁTEDRA OPCIONAL COMPLEMENTARIA</v>
      </c>
    </row>
    <row r="241" spans="2:10" x14ac:dyDescent="0.25">
      <c r="B241" s="54" t="s">
        <v>107</v>
      </c>
      <c r="C241" s="67">
        <v>95113</v>
      </c>
      <c r="D241" s="69" t="s">
        <v>214</v>
      </c>
      <c r="E241" s="70">
        <v>2</v>
      </c>
      <c r="H241" s="107">
        <f>+Tabla1[[#This Row],[CRÉDITOS]]-G241</f>
        <v>2</v>
      </c>
      <c r="I241" t="s">
        <v>969</v>
      </c>
      <c r="J241" t="str">
        <f t="shared" si="3"/>
        <v>ÉTICA</v>
      </c>
    </row>
    <row r="242" spans="2:10" x14ac:dyDescent="0.25">
      <c r="B242" s="54" t="s">
        <v>116</v>
      </c>
      <c r="C242" s="76">
        <v>16724</v>
      </c>
      <c r="D242" s="77" t="s">
        <v>453</v>
      </c>
      <c r="E242" s="78">
        <v>2</v>
      </c>
      <c r="H242" s="107">
        <f>+Tabla1[[#This Row],[CRÉDITOS]]-G242</f>
        <v>2</v>
      </c>
      <c r="I242" t="s">
        <v>1101</v>
      </c>
      <c r="J242" t="str">
        <f t="shared" si="3"/>
        <v>MATEMÁTICA BÁSICA</v>
      </c>
    </row>
    <row r="243" spans="2:10" x14ac:dyDescent="0.25">
      <c r="B243" s="54" t="s">
        <v>116</v>
      </c>
      <c r="C243" s="76">
        <v>16725</v>
      </c>
      <c r="D243" s="77" t="s">
        <v>454</v>
      </c>
      <c r="E243" s="78">
        <v>2</v>
      </c>
      <c r="H243" s="107">
        <f>+Tabla1[[#This Row],[CRÉDITOS]]-G243</f>
        <v>2</v>
      </c>
      <c r="I243" t="s">
        <v>1102</v>
      </c>
      <c r="J243" t="str">
        <f t="shared" si="3"/>
        <v>BIOLOGÍA GENERAL</v>
      </c>
    </row>
    <row r="244" spans="2:10" x14ac:dyDescent="0.25">
      <c r="B244" s="54" t="s">
        <v>116</v>
      </c>
      <c r="C244" s="76">
        <v>16726</v>
      </c>
      <c r="D244" s="77" t="s">
        <v>455</v>
      </c>
      <c r="E244" s="78">
        <v>2</v>
      </c>
      <c r="H244" s="107">
        <f>+Tabla1[[#This Row],[CRÉDITOS]]-G244</f>
        <v>2</v>
      </c>
      <c r="I244" t="s">
        <v>1103</v>
      </c>
      <c r="J244" t="str">
        <f t="shared" si="3"/>
        <v>QUÍMICA</v>
      </c>
    </row>
    <row r="245" spans="2:10" x14ac:dyDescent="0.25">
      <c r="B245" s="54" t="s">
        <v>116</v>
      </c>
      <c r="C245" s="76">
        <v>73486</v>
      </c>
      <c r="D245" s="77" t="s">
        <v>456</v>
      </c>
      <c r="E245" s="78">
        <v>3</v>
      </c>
      <c r="H245" s="107">
        <f>+Tabla1[[#This Row],[CRÉDITOS]]-G245</f>
        <v>3</v>
      </c>
      <c r="I245" t="s">
        <v>1104</v>
      </c>
      <c r="J245" t="str">
        <f t="shared" si="3"/>
        <v>INTRODUCCIÓN A LA ZOOTECNIA</v>
      </c>
    </row>
    <row r="246" spans="2:10" x14ac:dyDescent="0.25">
      <c r="B246" s="54" t="s">
        <v>116</v>
      </c>
      <c r="C246" s="76">
        <v>73207</v>
      </c>
      <c r="D246" s="77" t="s">
        <v>315</v>
      </c>
      <c r="E246" s="78">
        <v>3</v>
      </c>
      <c r="H246" s="107">
        <f>+Tabla1[[#This Row],[CRÉDITOS]]-G246</f>
        <v>3</v>
      </c>
      <c r="I246" t="s">
        <v>1023</v>
      </c>
      <c r="J246" t="str">
        <f t="shared" si="3"/>
        <v>METODOLOGÍA DE LA EDUCACIÓN A DISTANCIA</v>
      </c>
    </row>
    <row r="247" spans="2:10" x14ac:dyDescent="0.25">
      <c r="B247" s="54" t="s">
        <v>116</v>
      </c>
      <c r="C247" s="76">
        <v>73487</v>
      </c>
      <c r="D247" s="77" t="s">
        <v>56</v>
      </c>
      <c r="E247" s="78">
        <v>2</v>
      </c>
      <c r="H247" s="107">
        <f>+Tabla1[[#This Row],[CRÉDITOS]]-G247</f>
        <v>2</v>
      </c>
      <c r="I247" t="s">
        <v>919</v>
      </c>
      <c r="J247" t="str">
        <f t="shared" si="3"/>
        <v>COMUNICACIÓN ORAL Y ESCRITA</v>
      </c>
    </row>
    <row r="248" spans="2:10" x14ac:dyDescent="0.25">
      <c r="B248" s="54" t="s">
        <v>116</v>
      </c>
      <c r="C248" s="76">
        <v>16323</v>
      </c>
      <c r="D248" s="77" t="s">
        <v>101</v>
      </c>
      <c r="E248" s="78">
        <v>2</v>
      </c>
      <c r="H248" s="107">
        <f>+Tabla1[[#This Row],[CRÉDITOS]]-G248</f>
        <v>2</v>
      </c>
      <c r="I248" t="s">
        <v>927</v>
      </c>
      <c r="J248" t="str">
        <f t="shared" si="3"/>
        <v>FILOSOFÍA INSTITUCIONAL</v>
      </c>
    </row>
    <row r="249" spans="2:10" x14ac:dyDescent="0.25">
      <c r="B249" s="54" t="s">
        <v>116</v>
      </c>
      <c r="C249" s="76">
        <v>73488</v>
      </c>
      <c r="D249" s="77" t="s">
        <v>459</v>
      </c>
      <c r="E249" s="76">
        <v>2</v>
      </c>
      <c r="H249" s="107">
        <f>+Tabla1[[#This Row],[CRÉDITOS]]-G249</f>
        <v>2</v>
      </c>
      <c r="I249" t="s">
        <v>1105</v>
      </c>
      <c r="J249" t="str">
        <f t="shared" si="3"/>
        <v>MATEMÁTICAS 2</v>
      </c>
    </row>
    <row r="250" spans="2:10" x14ac:dyDescent="0.25">
      <c r="B250" s="54" t="s">
        <v>116</v>
      </c>
      <c r="C250" s="79">
        <v>16729</v>
      </c>
      <c r="D250" s="80" t="s">
        <v>461</v>
      </c>
      <c r="E250" s="79">
        <v>2</v>
      </c>
      <c r="H250" s="107">
        <f>+Tabla1[[#This Row],[CRÉDITOS]]-G250</f>
        <v>2</v>
      </c>
      <c r="I250" t="s">
        <v>1106</v>
      </c>
      <c r="J250" t="str">
        <f t="shared" si="3"/>
        <v>BIOQUÍMICA</v>
      </c>
    </row>
    <row r="251" spans="2:10" x14ac:dyDescent="0.25">
      <c r="B251" s="54" t="s">
        <v>116</v>
      </c>
      <c r="C251" s="81">
        <v>16730</v>
      </c>
      <c r="D251" s="82" t="s">
        <v>462</v>
      </c>
      <c r="E251" s="81">
        <v>2</v>
      </c>
      <c r="H251" s="107">
        <f>+Tabla1[[#This Row],[CRÉDITOS]]-G251</f>
        <v>2</v>
      </c>
      <c r="I251" t="s">
        <v>1107</v>
      </c>
      <c r="J251" t="str">
        <f t="shared" si="3"/>
        <v>AGROECOLOGÍA</v>
      </c>
    </row>
    <row r="252" spans="2:10" x14ac:dyDescent="0.25">
      <c r="B252" s="54" t="s">
        <v>116</v>
      </c>
      <c r="C252" s="76">
        <v>16728</v>
      </c>
      <c r="D252" s="77" t="s">
        <v>463</v>
      </c>
      <c r="E252" s="76">
        <v>3</v>
      </c>
      <c r="H252" s="107">
        <f>+Tabla1[[#This Row],[CRÉDITOS]]-G252</f>
        <v>3</v>
      </c>
      <c r="I252" t="s">
        <v>1108</v>
      </c>
      <c r="J252" t="str">
        <f t="shared" si="3"/>
        <v>SUELOS Y FERTILIZANTES</v>
      </c>
    </row>
    <row r="253" spans="2:10" x14ac:dyDescent="0.25">
      <c r="B253" s="54" t="s">
        <v>116</v>
      </c>
      <c r="C253" s="76">
        <v>73489</v>
      </c>
      <c r="D253" s="77" t="s">
        <v>465</v>
      </c>
      <c r="E253" s="76">
        <v>3</v>
      </c>
      <c r="H253" s="107">
        <f>+Tabla1[[#This Row],[CRÉDITOS]]-G253</f>
        <v>3</v>
      </c>
      <c r="I253" t="s">
        <v>1109</v>
      </c>
      <c r="J253" t="str">
        <f t="shared" si="3"/>
        <v>ANATOMÍA ANIMAL</v>
      </c>
    </row>
    <row r="254" spans="2:10" x14ac:dyDescent="0.25">
      <c r="B254" s="54" t="s">
        <v>116</v>
      </c>
      <c r="C254" s="76">
        <v>16324</v>
      </c>
      <c r="D254" s="77" t="s">
        <v>136</v>
      </c>
      <c r="E254" s="76">
        <v>2</v>
      </c>
      <c r="H254" s="107">
        <f>+Tabla1[[#This Row],[CRÉDITOS]]-G254</f>
        <v>2</v>
      </c>
      <c r="I254" t="s">
        <v>936</v>
      </c>
      <c r="J254" t="str">
        <f t="shared" si="3"/>
        <v>ANTROPOLOGÍA</v>
      </c>
    </row>
    <row r="255" spans="2:10" x14ac:dyDescent="0.25">
      <c r="B255" s="54" t="s">
        <v>116</v>
      </c>
      <c r="C255" s="70">
        <v>16735</v>
      </c>
      <c r="D255" s="69" t="s">
        <v>466</v>
      </c>
      <c r="E255" s="70">
        <v>3</v>
      </c>
      <c r="H255" s="107">
        <f>+Tabla1[[#This Row],[CRÉDITOS]]-G255</f>
        <v>3</v>
      </c>
      <c r="I255" t="s">
        <v>1110</v>
      </c>
      <c r="J255" t="str">
        <f t="shared" si="3"/>
        <v>GENÉTICA</v>
      </c>
    </row>
    <row r="256" spans="2:10" x14ac:dyDescent="0.25">
      <c r="B256" s="54" t="s">
        <v>116</v>
      </c>
      <c r="C256" s="78">
        <v>16734</v>
      </c>
      <c r="D256" s="83" t="s">
        <v>467</v>
      </c>
      <c r="E256" s="78">
        <v>3</v>
      </c>
      <c r="H256" s="107">
        <f>+Tabla1[[#This Row],[CRÉDITOS]]-G256</f>
        <v>3</v>
      </c>
      <c r="I256" t="s">
        <v>1111</v>
      </c>
      <c r="J256" t="str">
        <f t="shared" si="3"/>
        <v>PASTOS Y FORRAJES</v>
      </c>
    </row>
    <row r="257" spans="2:10" x14ac:dyDescent="0.25">
      <c r="B257" s="54" t="s">
        <v>116</v>
      </c>
      <c r="C257" s="70">
        <v>16733</v>
      </c>
      <c r="D257" s="69" t="s">
        <v>468</v>
      </c>
      <c r="E257" s="70">
        <v>3</v>
      </c>
      <c r="H257" s="107">
        <f>+Tabla1[[#This Row],[CRÉDITOS]]-G257</f>
        <v>3</v>
      </c>
      <c r="I257" t="s">
        <v>1112</v>
      </c>
      <c r="J257" t="str">
        <f t="shared" si="3"/>
        <v>NUTRICIÓN ANIMAL I</v>
      </c>
    </row>
    <row r="258" spans="2:10" x14ac:dyDescent="0.25">
      <c r="B258" s="54" t="s">
        <v>116</v>
      </c>
      <c r="C258" s="70">
        <v>73531</v>
      </c>
      <c r="D258" s="69" t="s">
        <v>469</v>
      </c>
      <c r="E258" s="70">
        <v>3</v>
      </c>
      <c r="H258" s="107">
        <f>+Tabla1[[#This Row],[CRÉDITOS]]-G258</f>
        <v>3</v>
      </c>
      <c r="I258" t="s">
        <v>1113</v>
      </c>
      <c r="J258" t="str">
        <f t="shared" si="3"/>
        <v>FISIOLOGÍA ANIMAL I</v>
      </c>
    </row>
    <row r="259" spans="2:10" x14ac:dyDescent="0.25">
      <c r="B259" s="54" t="s">
        <v>116</v>
      </c>
      <c r="C259" s="70">
        <v>16731</v>
      </c>
      <c r="D259" s="69" t="s">
        <v>470</v>
      </c>
      <c r="E259" s="70">
        <v>2</v>
      </c>
      <c r="H259" s="107">
        <f>+Tabla1[[#This Row],[CRÉDITOS]]-G259</f>
        <v>2</v>
      </c>
      <c r="I259" t="s">
        <v>1114</v>
      </c>
      <c r="J259" t="str">
        <f t="shared" si="3"/>
        <v>BIOESTADÍSTICA</v>
      </c>
    </row>
    <row r="260" spans="2:10" x14ac:dyDescent="0.25">
      <c r="B260" s="54" t="s">
        <v>116</v>
      </c>
      <c r="C260" s="76">
        <v>16325</v>
      </c>
      <c r="D260" s="80" t="s">
        <v>160</v>
      </c>
      <c r="E260" s="76">
        <v>2</v>
      </c>
      <c r="H260" s="107">
        <f>+Tabla1[[#This Row],[CRÉDITOS]]-G260</f>
        <v>2</v>
      </c>
      <c r="I260" t="s">
        <v>945</v>
      </c>
      <c r="J260" t="str">
        <f t="shared" ref="J260:J323" si="4">+UPPER(I260)</f>
        <v>EPISTEMOLOGÍA</v>
      </c>
    </row>
    <row r="261" spans="2:10" x14ac:dyDescent="0.25">
      <c r="B261" s="54" t="s">
        <v>116</v>
      </c>
      <c r="C261" s="81">
        <v>16539</v>
      </c>
      <c r="D261" s="82" t="s">
        <v>471</v>
      </c>
      <c r="E261" s="81">
        <v>3</v>
      </c>
      <c r="H261" s="107">
        <f>+Tabla1[[#This Row],[CRÉDITOS]]-G261</f>
        <v>3</v>
      </c>
      <c r="I261" t="s">
        <v>1115</v>
      </c>
      <c r="J261" t="str">
        <f t="shared" si="4"/>
        <v>ELECTIVA I</v>
      </c>
    </row>
    <row r="262" spans="2:10" x14ac:dyDescent="0.25">
      <c r="B262" s="54" t="s">
        <v>116</v>
      </c>
      <c r="C262" s="70">
        <v>16741</v>
      </c>
      <c r="D262" s="69" t="s">
        <v>472</v>
      </c>
      <c r="E262" s="70">
        <v>2</v>
      </c>
      <c r="H262" s="107">
        <f>+Tabla1[[#This Row],[CRÉDITOS]]-G262</f>
        <v>2</v>
      </c>
      <c r="I262" t="s">
        <v>1116</v>
      </c>
      <c r="J262" t="str">
        <f t="shared" si="4"/>
        <v>MICROBIOLOGÍA</v>
      </c>
    </row>
    <row r="263" spans="2:10" x14ac:dyDescent="0.25">
      <c r="B263" s="54" t="s">
        <v>116</v>
      </c>
      <c r="C263" s="78">
        <v>79490</v>
      </c>
      <c r="D263" s="83" t="s">
        <v>474</v>
      </c>
      <c r="E263" s="78">
        <v>2</v>
      </c>
      <c r="H263" s="107">
        <f>+Tabla1[[#This Row],[CRÉDITOS]]-G263</f>
        <v>2</v>
      </c>
      <c r="I263" t="s">
        <v>1117</v>
      </c>
      <c r="J263" t="str">
        <f t="shared" si="4"/>
        <v>EXTENSIÓN Y DESARROLLO RURAL</v>
      </c>
    </row>
    <row r="264" spans="2:10" x14ac:dyDescent="0.25">
      <c r="B264" s="54" t="s">
        <v>116</v>
      </c>
      <c r="C264" s="70">
        <v>16737</v>
      </c>
      <c r="D264" s="69" t="s">
        <v>476</v>
      </c>
      <c r="E264" s="70">
        <v>3</v>
      </c>
      <c r="H264" s="107">
        <f>+Tabla1[[#This Row],[CRÉDITOS]]-G264</f>
        <v>3</v>
      </c>
      <c r="I264" t="s">
        <v>1118</v>
      </c>
      <c r="J264" t="str">
        <f t="shared" si="4"/>
        <v>NUTRICIÓN ANIMAL II</v>
      </c>
    </row>
    <row r="265" spans="2:10" x14ac:dyDescent="0.25">
      <c r="B265" s="54" t="s">
        <v>116</v>
      </c>
      <c r="C265" s="70">
        <v>73491</v>
      </c>
      <c r="D265" s="69" t="s">
        <v>477</v>
      </c>
      <c r="E265" s="70">
        <v>3</v>
      </c>
      <c r="H265" s="107">
        <f>+Tabla1[[#This Row],[CRÉDITOS]]-G265</f>
        <v>3</v>
      </c>
      <c r="I265" t="s">
        <v>1119</v>
      </c>
      <c r="J265" t="str">
        <f t="shared" si="4"/>
        <v>FISIOLOGÍA DE LA PRODUCCIÓN</v>
      </c>
    </row>
    <row r="266" spans="2:10" x14ac:dyDescent="0.25">
      <c r="B266" s="54" t="s">
        <v>116</v>
      </c>
      <c r="C266" s="70">
        <v>16738</v>
      </c>
      <c r="D266" s="69" t="s">
        <v>478</v>
      </c>
      <c r="E266" s="70">
        <v>2</v>
      </c>
      <c r="H266" s="107">
        <f>+Tabla1[[#This Row],[CRÉDITOS]]-G266</f>
        <v>2</v>
      </c>
      <c r="I266" t="s">
        <v>1120</v>
      </c>
      <c r="J266" t="str">
        <f t="shared" si="4"/>
        <v>DISEÑO EXPERIMENTAL</v>
      </c>
    </row>
    <row r="267" spans="2:10" x14ac:dyDescent="0.25">
      <c r="B267" s="54" t="s">
        <v>116</v>
      </c>
      <c r="C267" s="76">
        <v>16327</v>
      </c>
      <c r="D267" s="77" t="s">
        <v>184</v>
      </c>
      <c r="E267" s="76">
        <v>2</v>
      </c>
      <c r="H267" s="107">
        <f>+Tabla1[[#This Row],[CRÉDITOS]]-G267</f>
        <v>2</v>
      </c>
      <c r="I267" t="s">
        <v>953</v>
      </c>
      <c r="J267" t="str">
        <f t="shared" si="4"/>
        <v>CULTURA TEOLÓGICA</v>
      </c>
    </row>
    <row r="268" spans="2:10" x14ac:dyDescent="0.25">
      <c r="B268" s="54" t="s">
        <v>116</v>
      </c>
      <c r="C268" s="81">
        <v>16540</v>
      </c>
      <c r="D268" s="82" t="s">
        <v>479</v>
      </c>
      <c r="E268" s="81">
        <v>3</v>
      </c>
      <c r="H268" s="107">
        <f>+Tabla1[[#This Row],[CRÉDITOS]]-G268</f>
        <v>3</v>
      </c>
      <c r="I268" t="s">
        <v>1121</v>
      </c>
      <c r="J268" t="str">
        <f t="shared" si="4"/>
        <v>ELECTIVA II</v>
      </c>
    </row>
    <row r="269" spans="2:10" x14ac:dyDescent="0.25">
      <c r="B269" s="54" t="s">
        <v>116</v>
      </c>
      <c r="C269" s="81">
        <v>73492</v>
      </c>
      <c r="D269" s="82" t="s">
        <v>481</v>
      </c>
      <c r="E269" s="81">
        <v>2</v>
      </c>
      <c r="H269" s="107">
        <f>+Tabla1[[#This Row],[CRÉDITOS]]-G269</f>
        <v>2</v>
      </c>
      <c r="I269" t="s">
        <v>1122</v>
      </c>
      <c r="J269" t="str">
        <f t="shared" si="4"/>
        <v>AGROCLIMATOLOGÍA</v>
      </c>
    </row>
    <row r="270" spans="2:10" x14ac:dyDescent="0.25">
      <c r="B270" s="54" t="s">
        <v>116</v>
      </c>
      <c r="C270" s="81">
        <v>73493</v>
      </c>
      <c r="D270" s="82" t="s">
        <v>482</v>
      </c>
      <c r="E270" s="81">
        <v>2</v>
      </c>
      <c r="H270" s="107">
        <f>+Tabla1[[#This Row],[CRÉDITOS]]-G270</f>
        <v>2</v>
      </c>
      <c r="I270" t="s">
        <v>1123</v>
      </c>
      <c r="J270" t="str">
        <f t="shared" si="4"/>
        <v>EXPERIENCIA ZOOTÉCNICA</v>
      </c>
    </row>
    <row r="271" spans="2:10" x14ac:dyDescent="0.25">
      <c r="B271" s="54" t="s">
        <v>116</v>
      </c>
      <c r="C271" s="76">
        <v>16740</v>
      </c>
      <c r="D271" s="77" t="s">
        <v>483</v>
      </c>
      <c r="E271" s="76">
        <v>2</v>
      </c>
      <c r="H271" s="107">
        <f>+Tabla1[[#This Row],[CRÉDITOS]]-G271</f>
        <v>2</v>
      </c>
      <c r="I271" t="s">
        <v>1124</v>
      </c>
      <c r="J271" t="str">
        <f t="shared" si="4"/>
        <v>ALIMENTACIÓN ANIMAL</v>
      </c>
    </row>
    <row r="272" spans="2:10" x14ac:dyDescent="0.25">
      <c r="B272" s="54" t="s">
        <v>116</v>
      </c>
      <c r="C272" s="81">
        <v>73494</v>
      </c>
      <c r="D272" s="82" t="s">
        <v>486</v>
      </c>
      <c r="E272" s="81">
        <v>3</v>
      </c>
      <c r="H272" s="107">
        <f>+Tabla1[[#This Row],[CRÉDITOS]]-G272</f>
        <v>3</v>
      </c>
      <c r="I272" t="s">
        <v>1125</v>
      </c>
      <c r="J272" t="str">
        <f t="shared" si="4"/>
        <v>SALUD EN LA PRODUCCIÓN ANIMAL</v>
      </c>
    </row>
    <row r="273" spans="2:10" ht="29.25" x14ac:dyDescent="0.25">
      <c r="B273" s="54" t="s">
        <v>116</v>
      </c>
      <c r="C273" s="81">
        <v>73495</v>
      </c>
      <c r="D273" s="82" t="s">
        <v>488</v>
      </c>
      <c r="E273" s="81">
        <v>3</v>
      </c>
      <c r="H273" s="107">
        <f>+Tabla1[[#This Row],[CRÉDITOS]]-G273</f>
        <v>3</v>
      </c>
      <c r="I273" t="s">
        <v>1126</v>
      </c>
      <c r="J273" t="str">
        <f t="shared" si="4"/>
        <v>ENFOQUE SISTÉMICO DE LA PRODUCCIÓN PECUARIA</v>
      </c>
    </row>
    <row r="274" spans="2:10" x14ac:dyDescent="0.25">
      <c r="B274" s="54" t="s">
        <v>116</v>
      </c>
      <c r="C274" s="76">
        <v>16719</v>
      </c>
      <c r="D274" s="77" t="s">
        <v>391</v>
      </c>
      <c r="E274" s="76">
        <v>2</v>
      </c>
      <c r="H274" s="107">
        <f>+Tabla1[[#This Row],[CRÉDITOS]]-G274</f>
        <v>2</v>
      </c>
      <c r="I274" t="s">
        <v>1074</v>
      </c>
      <c r="J274" t="str">
        <f t="shared" si="4"/>
        <v>FUNDAMENTOS DE ADMINISTRACIÓN</v>
      </c>
    </row>
    <row r="275" spans="2:10" x14ac:dyDescent="0.25">
      <c r="B275" s="54" t="s">
        <v>116</v>
      </c>
      <c r="C275" s="76">
        <v>16720</v>
      </c>
      <c r="D275" s="77" t="s">
        <v>408</v>
      </c>
      <c r="E275" s="76">
        <v>2</v>
      </c>
      <c r="H275" s="107">
        <f>+Tabla1[[#This Row],[CRÉDITOS]]-G275</f>
        <v>2</v>
      </c>
      <c r="I275" t="s">
        <v>1081</v>
      </c>
      <c r="J275" t="str">
        <f t="shared" si="4"/>
        <v>FUNDAMENTOS DE MERCADEO</v>
      </c>
    </row>
    <row r="276" spans="2:10" x14ac:dyDescent="0.25">
      <c r="B276" s="54" t="s">
        <v>116</v>
      </c>
      <c r="C276" s="76">
        <v>16588</v>
      </c>
      <c r="D276" s="77" t="s">
        <v>493</v>
      </c>
      <c r="E276" s="76">
        <v>2</v>
      </c>
      <c r="H276" s="107">
        <f>+Tabla1[[#This Row],[CRÉDITOS]]-G276</f>
        <v>2</v>
      </c>
      <c r="I276" t="s">
        <v>1127</v>
      </c>
      <c r="J276" t="str">
        <f t="shared" si="4"/>
        <v>TRABAJO COMUNITARIO</v>
      </c>
    </row>
    <row r="277" spans="2:10" x14ac:dyDescent="0.25">
      <c r="B277" s="54" t="s">
        <v>116</v>
      </c>
      <c r="C277" s="76">
        <v>16742</v>
      </c>
      <c r="D277" s="77" t="s">
        <v>494</v>
      </c>
      <c r="E277" s="76">
        <v>3</v>
      </c>
      <c r="H277" s="107">
        <f>+Tabla1[[#This Row],[CRÉDITOS]]-G277</f>
        <v>3</v>
      </c>
      <c r="I277" t="s">
        <v>1128</v>
      </c>
      <c r="J277" t="str">
        <f t="shared" si="4"/>
        <v>MEJORAMIENTO ANIMAL</v>
      </c>
    </row>
    <row r="278" spans="2:10" x14ac:dyDescent="0.25">
      <c r="B278" s="54" t="s">
        <v>116</v>
      </c>
      <c r="C278" s="81">
        <v>73496</v>
      </c>
      <c r="D278" s="82" t="s">
        <v>495</v>
      </c>
      <c r="E278" s="81">
        <v>3</v>
      </c>
      <c r="H278" s="107">
        <f>+Tabla1[[#This Row],[CRÉDITOS]]-G278</f>
        <v>3</v>
      </c>
      <c r="I278" t="s">
        <v>1129</v>
      </c>
      <c r="J278" t="str">
        <f t="shared" si="4"/>
        <v>REPRODUCCIÓN ANIMAL I</v>
      </c>
    </row>
    <row r="279" spans="2:10" x14ac:dyDescent="0.25">
      <c r="B279" s="54" t="s">
        <v>116</v>
      </c>
      <c r="C279" s="76">
        <v>73497</v>
      </c>
      <c r="D279" s="77" t="s">
        <v>498</v>
      </c>
      <c r="E279" s="76">
        <v>2</v>
      </c>
      <c r="H279" s="107">
        <f>+Tabla1[[#This Row],[CRÉDITOS]]-G279</f>
        <v>2</v>
      </c>
      <c r="I279" t="s">
        <v>1130</v>
      </c>
      <c r="J279" t="str">
        <f t="shared" si="4"/>
        <v>SISTEMAS DE GESTIÓN DE CALIDAD</v>
      </c>
    </row>
    <row r="280" spans="2:10" x14ac:dyDescent="0.25">
      <c r="B280" s="54" t="s">
        <v>116</v>
      </c>
      <c r="C280" s="76">
        <v>16739</v>
      </c>
      <c r="D280" s="77" t="s">
        <v>500</v>
      </c>
      <c r="E280" s="76">
        <v>2</v>
      </c>
      <c r="H280" s="107">
        <f>+Tabla1[[#This Row],[CRÉDITOS]]-G280</f>
        <v>2</v>
      </c>
      <c r="I280" t="s">
        <v>1131</v>
      </c>
      <c r="J280" t="str">
        <f t="shared" si="4"/>
        <v>ADMINISTRACIÓN AGROPECUARIA</v>
      </c>
    </row>
    <row r="281" spans="2:10" x14ac:dyDescent="0.25">
      <c r="B281" s="54" t="s">
        <v>116</v>
      </c>
      <c r="C281" s="76">
        <v>16745</v>
      </c>
      <c r="D281" s="77" t="s">
        <v>502</v>
      </c>
      <c r="E281" s="76">
        <v>2</v>
      </c>
      <c r="H281" s="107">
        <f>+Tabla1[[#This Row],[CRÉDITOS]]-G281</f>
        <v>2</v>
      </c>
      <c r="I281" t="s">
        <v>1132</v>
      </c>
      <c r="J281" t="str">
        <f t="shared" si="4"/>
        <v>MERCADEO AGROPECUARIO</v>
      </c>
    </row>
    <row r="282" spans="2:10" x14ac:dyDescent="0.25">
      <c r="B282" s="54" t="s">
        <v>116</v>
      </c>
      <c r="C282" s="76">
        <v>73498</v>
      </c>
      <c r="D282" s="77" t="s">
        <v>202</v>
      </c>
      <c r="E282" s="76">
        <v>2</v>
      </c>
      <c r="H282" s="107">
        <f>+Tabla1[[#This Row],[CRÉDITOS]]-G282</f>
        <v>2</v>
      </c>
      <c r="I282" t="s">
        <v>961</v>
      </c>
      <c r="J282" t="str">
        <f t="shared" si="4"/>
        <v>FILOSOFÍA POLÍTICA</v>
      </c>
    </row>
    <row r="283" spans="2:10" x14ac:dyDescent="0.25">
      <c r="B283" s="54" t="s">
        <v>116</v>
      </c>
      <c r="C283" s="76">
        <v>73499</v>
      </c>
      <c r="D283" s="77" t="s">
        <v>505</v>
      </c>
      <c r="E283" s="76">
        <v>3</v>
      </c>
      <c r="H283" s="107">
        <f>+Tabla1[[#This Row],[CRÉDITOS]]-G283</f>
        <v>3</v>
      </c>
      <c r="I283" t="s">
        <v>1133</v>
      </c>
      <c r="J283" t="str">
        <f t="shared" si="4"/>
        <v>REPRODUCCIÓN ANIMAL II</v>
      </c>
    </row>
    <row r="284" spans="2:10" x14ac:dyDescent="0.25">
      <c r="B284" s="54" t="s">
        <v>116</v>
      </c>
      <c r="C284" s="76">
        <v>16338</v>
      </c>
      <c r="D284" s="77" t="s">
        <v>507</v>
      </c>
      <c r="E284" s="76">
        <v>2</v>
      </c>
      <c r="H284" s="107">
        <f>+Tabla1[[#This Row],[CRÉDITOS]]-G284</f>
        <v>2</v>
      </c>
      <c r="I284" t="s">
        <v>1134</v>
      </c>
      <c r="J284" t="str">
        <f t="shared" si="4"/>
        <v>SISTEMA PRODUCCIÓN BOVINOS DE LECHE</v>
      </c>
    </row>
    <row r="285" spans="2:10" x14ac:dyDescent="0.25">
      <c r="B285" s="54" t="s">
        <v>116</v>
      </c>
      <c r="C285" s="76">
        <v>16339</v>
      </c>
      <c r="D285" s="77" t="s">
        <v>509</v>
      </c>
      <c r="E285" s="76">
        <v>2</v>
      </c>
      <c r="H285" s="107">
        <f>+Tabla1[[#This Row],[CRÉDITOS]]-G285</f>
        <v>2</v>
      </c>
      <c r="I285" t="s">
        <v>1135</v>
      </c>
      <c r="J285" t="str">
        <f t="shared" si="4"/>
        <v>SISTEMA PRODUCCIÓN BOVINOS DE CARNE</v>
      </c>
    </row>
    <row r="286" spans="2:10" x14ac:dyDescent="0.25">
      <c r="B286" s="54" t="s">
        <v>116</v>
      </c>
      <c r="C286" s="76">
        <v>16748</v>
      </c>
      <c r="D286" s="77" t="s">
        <v>511</v>
      </c>
      <c r="E286" s="76">
        <v>2</v>
      </c>
      <c r="H286" s="107">
        <f>+Tabla1[[#This Row],[CRÉDITOS]]-G286</f>
        <v>2</v>
      </c>
      <c r="I286" t="s">
        <v>1136</v>
      </c>
      <c r="J286" t="str">
        <f t="shared" si="4"/>
        <v>ECONOMÍA AGRARIA</v>
      </c>
    </row>
    <row r="287" spans="2:10" x14ac:dyDescent="0.25">
      <c r="B287" s="54" t="s">
        <v>116</v>
      </c>
      <c r="C287" s="76">
        <v>16326</v>
      </c>
      <c r="D287" s="77" t="s">
        <v>214</v>
      </c>
      <c r="E287" s="76">
        <v>2</v>
      </c>
      <c r="H287" s="107">
        <f>+Tabla1[[#This Row],[CRÉDITOS]]-G287</f>
        <v>2</v>
      </c>
      <c r="I287" t="s">
        <v>969</v>
      </c>
      <c r="J287" t="str">
        <f t="shared" si="4"/>
        <v>ÉTICA</v>
      </c>
    </row>
    <row r="288" spans="2:10" x14ac:dyDescent="0.25">
      <c r="B288" s="54" t="s">
        <v>116</v>
      </c>
      <c r="C288" s="76">
        <v>16541</v>
      </c>
      <c r="D288" s="77" t="s">
        <v>514</v>
      </c>
      <c r="E288" s="76">
        <v>3</v>
      </c>
      <c r="H288" s="107">
        <f>+Tabla1[[#This Row],[CRÉDITOS]]-G288</f>
        <v>3</v>
      </c>
      <c r="I288" t="s">
        <v>1137</v>
      </c>
      <c r="J288" t="str">
        <f t="shared" si="4"/>
        <v>ELECTIVA III</v>
      </c>
    </row>
    <row r="289" spans="2:10" x14ac:dyDescent="0.25">
      <c r="B289" s="54" t="s">
        <v>116</v>
      </c>
      <c r="C289" s="76">
        <v>73500</v>
      </c>
      <c r="D289" s="77" t="s">
        <v>302</v>
      </c>
      <c r="E289" s="76">
        <v>3</v>
      </c>
      <c r="H289" s="107">
        <f>+Tabla1[[#This Row],[CRÉDITOS]]-G289</f>
        <v>3</v>
      </c>
      <c r="I289" t="s">
        <v>1017</v>
      </c>
      <c r="J289" t="str">
        <f t="shared" si="4"/>
        <v>PROFUNDIZACIÓN I</v>
      </c>
    </row>
    <row r="290" spans="2:10" x14ac:dyDescent="0.25">
      <c r="B290" s="54" t="s">
        <v>116</v>
      </c>
      <c r="C290" s="76">
        <v>73501</v>
      </c>
      <c r="D290" s="77" t="s">
        <v>1138</v>
      </c>
      <c r="E290" s="76">
        <v>3</v>
      </c>
      <c r="H290" s="107">
        <f>+Tabla1[[#This Row],[CRÉDITOS]]-G290</f>
        <v>3</v>
      </c>
      <c r="I290" t="s">
        <v>1139</v>
      </c>
      <c r="J290" t="str">
        <f t="shared" si="4"/>
        <v>SISTEMA PRODUCCIÓN PEQUEÑOS RUMIANTES</v>
      </c>
    </row>
    <row r="291" spans="2:10" x14ac:dyDescent="0.25">
      <c r="B291" s="54" t="s">
        <v>116</v>
      </c>
      <c r="C291" s="76">
        <v>16341</v>
      </c>
      <c r="D291" s="77" t="s">
        <v>518</v>
      </c>
      <c r="E291" s="76">
        <v>3</v>
      </c>
      <c r="H291" s="107">
        <f>+Tabla1[[#This Row],[CRÉDITOS]]-G291</f>
        <v>3</v>
      </c>
      <c r="I291" t="s">
        <v>1140</v>
      </c>
      <c r="J291" t="str">
        <f t="shared" si="4"/>
        <v>SISTEMA PRODUCCIÓN AVES</v>
      </c>
    </row>
    <row r="292" spans="2:10" ht="29.25" x14ac:dyDescent="0.25">
      <c r="B292" s="54" t="s">
        <v>116</v>
      </c>
      <c r="C292" s="76">
        <v>73502</v>
      </c>
      <c r="D292" s="77" t="s">
        <v>520</v>
      </c>
      <c r="E292" s="76">
        <v>2</v>
      </c>
      <c r="H292" s="107">
        <f>+Tabla1[[#This Row],[CRÉDITOS]]-G292</f>
        <v>2</v>
      </c>
      <c r="I292" t="s">
        <v>1141</v>
      </c>
      <c r="J292" t="str">
        <f t="shared" si="4"/>
        <v>PLAN Y EVALUACIÓN DE PROYECTOS AGROPECUARIOS</v>
      </c>
    </row>
    <row r="293" spans="2:10" ht="29.25" x14ac:dyDescent="0.25">
      <c r="B293" s="54" t="s">
        <v>116</v>
      </c>
      <c r="C293" s="76">
        <v>73503</v>
      </c>
      <c r="D293" s="77" t="s">
        <v>522</v>
      </c>
      <c r="E293" s="76">
        <v>2</v>
      </c>
      <c r="H293" s="107">
        <f>+Tabla1[[#This Row],[CRÉDITOS]]-G293</f>
        <v>2</v>
      </c>
      <c r="I293" t="s">
        <v>1142</v>
      </c>
      <c r="J293" t="str">
        <f t="shared" si="4"/>
        <v>METODOLOGÍA DE LA INVESTIGACIÓN EN LAS CIENCIAS PECUARIAS</v>
      </c>
    </row>
    <row r="294" spans="2:10" x14ac:dyDescent="0.25">
      <c r="B294" s="54" t="s">
        <v>116</v>
      </c>
      <c r="C294" s="76">
        <v>16542</v>
      </c>
      <c r="D294" s="77" t="s">
        <v>524</v>
      </c>
      <c r="E294" s="76">
        <v>3</v>
      </c>
      <c r="H294" s="107">
        <f>+Tabla1[[#This Row],[CRÉDITOS]]-G294</f>
        <v>3</v>
      </c>
      <c r="I294" t="s">
        <v>1143</v>
      </c>
      <c r="J294" t="str">
        <f t="shared" si="4"/>
        <v>ELECTIVA IV</v>
      </c>
    </row>
    <row r="295" spans="2:10" x14ac:dyDescent="0.25">
      <c r="B295" s="54" t="s">
        <v>116</v>
      </c>
      <c r="C295" s="76">
        <v>73504</v>
      </c>
      <c r="D295" s="77" t="s">
        <v>304</v>
      </c>
      <c r="E295" s="76">
        <v>3</v>
      </c>
      <c r="H295" s="107">
        <f>+Tabla1[[#This Row],[CRÉDITOS]]-G295</f>
        <v>3</v>
      </c>
      <c r="I295" t="s">
        <v>1018</v>
      </c>
      <c r="J295" t="str">
        <f t="shared" si="4"/>
        <v>PROFUNDIZACIÓN II</v>
      </c>
    </row>
    <row r="296" spans="2:10" x14ac:dyDescent="0.25">
      <c r="B296" s="54" t="s">
        <v>116</v>
      </c>
      <c r="C296" s="76">
        <v>16395</v>
      </c>
      <c r="D296" s="77" t="s">
        <v>527</v>
      </c>
      <c r="E296" s="76">
        <v>3</v>
      </c>
      <c r="H296" s="107">
        <f>+Tabla1[[#This Row],[CRÉDITOS]]-G296</f>
        <v>3</v>
      </c>
      <c r="I296" t="s">
        <v>1144</v>
      </c>
      <c r="J296" t="str">
        <f t="shared" si="4"/>
        <v>CATEDRA OPCIONAL TECNOLOGÍA Y BIOÉTICA</v>
      </c>
    </row>
    <row r="297" spans="2:10" x14ac:dyDescent="0.25">
      <c r="B297" s="54" t="s">
        <v>116</v>
      </c>
      <c r="C297" s="76">
        <v>73505</v>
      </c>
      <c r="D297" s="77" t="s">
        <v>529</v>
      </c>
      <c r="E297" s="76">
        <v>2</v>
      </c>
      <c r="H297" s="107">
        <f>+Tabla1[[#This Row],[CRÉDITOS]]-G297</f>
        <v>2</v>
      </c>
      <c r="I297" t="s">
        <v>1145</v>
      </c>
      <c r="J297" t="str">
        <f t="shared" si="4"/>
        <v>BIOÉTICA</v>
      </c>
    </row>
    <row r="298" spans="2:10" ht="28.5" x14ac:dyDescent="0.25">
      <c r="B298" s="54" t="s">
        <v>116</v>
      </c>
      <c r="C298" s="81">
        <v>73506</v>
      </c>
      <c r="D298" s="56" t="s">
        <v>531</v>
      </c>
      <c r="E298" s="81">
        <v>2</v>
      </c>
      <c r="H298" s="107">
        <f>+Tabla1[[#This Row],[CRÉDITOS]]-G298</f>
        <v>2</v>
      </c>
      <c r="I298" t="s">
        <v>1146</v>
      </c>
      <c r="J298" t="str">
        <f t="shared" si="4"/>
        <v>HERRAMIENTAS TECNOLÓGICAS PARA LA PRODUCCIÓN PECUARIA</v>
      </c>
    </row>
    <row r="299" spans="2:10" x14ac:dyDescent="0.25">
      <c r="B299" s="54" t="s">
        <v>116</v>
      </c>
      <c r="C299" s="76">
        <v>73507</v>
      </c>
      <c r="D299" s="77" t="s">
        <v>532</v>
      </c>
      <c r="E299" s="76">
        <v>2</v>
      </c>
      <c r="H299" s="107">
        <f>+Tabla1[[#This Row],[CRÉDITOS]]-G299</f>
        <v>2</v>
      </c>
      <c r="I299" t="s">
        <v>1147</v>
      </c>
      <c r="J299" t="str">
        <f t="shared" si="4"/>
        <v>ETOLOGÍA Y BIENESTAR ANIMAL</v>
      </c>
    </row>
    <row r="300" spans="2:10" x14ac:dyDescent="0.25">
      <c r="B300" s="54" t="s">
        <v>116</v>
      </c>
      <c r="C300" s="76">
        <v>16340</v>
      </c>
      <c r="D300" s="77" t="s">
        <v>533</v>
      </c>
      <c r="E300" s="76">
        <v>3</v>
      </c>
      <c r="H300" s="107">
        <f>+Tabla1[[#This Row],[CRÉDITOS]]-G300</f>
        <v>3</v>
      </c>
      <c r="I300" t="s">
        <v>1148</v>
      </c>
      <c r="J300" t="str">
        <f t="shared" si="4"/>
        <v>SISTEMA PRODUCCIÓN PORCINOS</v>
      </c>
    </row>
    <row r="301" spans="2:10" x14ac:dyDescent="0.25">
      <c r="B301" s="54" t="s">
        <v>116</v>
      </c>
      <c r="C301" s="76">
        <v>16723</v>
      </c>
      <c r="D301" s="77" t="s">
        <v>534</v>
      </c>
      <c r="E301" s="76">
        <v>2</v>
      </c>
      <c r="H301" s="107">
        <f>+Tabla1[[#This Row],[CRÉDITOS]]-G301</f>
        <v>2</v>
      </c>
      <c r="I301" t="s">
        <v>1149</v>
      </c>
      <c r="J301" t="str">
        <f t="shared" si="4"/>
        <v>LEGISLACIÓN Y POLÍTICA AGRARIA</v>
      </c>
    </row>
    <row r="302" spans="2:10" x14ac:dyDescent="0.25">
      <c r="B302" s="54" t="s">
        <v>116</v>
      </c>
      <c r="C302" s="76">
        <v>73508</v>
      </c>
      <c r="D302" s="77" t="s">
        <v>311</v>
      </c>
      <c r="E302" s="76">
        <v>3</v>
      </c>
      <c r="H302" s="107">
        <f>+Tabla1[[#This Row],[CRÉDITOS]]-G302</f>
        <v>3</v>
      </c>
      <c r="I302" t="s">
        <v>1021</v>
      </c>
      <c r="J302" t="str">
        <f t="shared" si="4"/>
        <v>PROFUNDIZACIÓN III</v>
      </c>
    </row>
    <row r="303" spans="2:10" x14ac:dyDescent="0.25">
      <c r="B303" s="54" t="s">
        <v>116</v>
      </c>
      <c r="C303" s="76">
        <v>73509</v>
      </c>
      <c r="D303" s="77" t="s">
        <v>313</v>
      </c>
      <c r="E303" s="76">
        <v>3</v>
      </c>
      <c r="H303" s="107">
        <f>+Tabla1[[#This Row],[CRÉDITOS]]-G303</f>
        <v>3</v>
      </c>
      <c r="I303" t="s">
        <v>1022</v>
      </c>
      <c r="J303" t="str">
        <f t="shared" si="4"/>
        <v>PROFUNDIZACIÓN IV</v>
      </c>
    </row>
    <row r="304" spans="2:10" x14ac:dyDescent="0.25">
      <c r="B304" s="54" t="s">
        <v>116</v>
      </c>
      <c r="C304" s="76">
        <v>16752</v>
      </c>
      <c r="D304" s="77" t="s">
        <v>537</v>
      </c>
      <c r="E304" s="76">
        <v>2</v>
      </c>
      <c r="H304" s="107">
        <f>+Tabla1[[#This Row],[CRÉDITOS]]-G304</f>
        <v>2</v>
      </c>
      <c r="I304" t="s">
        <v>1150</v>
      </c>
      <c r="J304" t="str">
        <f t="shared" si="4"/>
        <v>TECNOLOGÍA DE CÁRNICOS</v>
      </c>
    </row>
    <row r="305" spans="2:10" x14ac:dyDescent="0.25">
      <c r="B305" s="54" t="s">
        <v>116</v>
      </c>
      <c r="C305" s="76">
        <v>16753</v>
      </c>
      <c r="D305" s="77" t="s">
        <v>539</v>
      </c>
      <c r="E305" s="76">
        <v>2</v>
      </c>
      <c r="H305" s="107">
        <f>+Tabla1[[#This Row],[CRÉDITOS]]-G305</f>
        <v>2</v>
      </c>
      <c r="I305" t="s">
        <v>1151</v>
      </c>
      <c r="J305" t="str">
        <f t="shared" si="4"/>
        <v>TECNOLOGÍA DE LÁCTEOS</v>
      </c>
    </row>
    <row r="306" spans="2:10" ht="43.5" x14ac:dyDescent="0.25">
      <c r="B306" s="54" t="s">
        <v>116</v>
      </c>
      <c r="C306" s="76">
        <v>73510</v>
      </c>
      <c r="D306" s="77" t="s">
        <v>540</v>
      </c>
      <c r="E306" s="76">
        <v>2</v>
      </c>
      <c r="H306" s="107">
        <f>+Tabla1[[#This Row],[CRÉDITOS]]-G306</f>
        <v>2</v>
      </c>
      <c r="I306" t="s">
        <v>1152</v>
      </c>
      <c r="J306" t="str">
        <f t="shared" si="4"/>
        <v>OPCIÓN DE GRADO: PRACTICA PROFESIONAL- CURSO DE ACTUALIZACIÓN - PROFUNDIZACIÓN - SEMESTRE DE POSGRADO</v>
      </c>
    </row>
    <row r="307" spans="2:10" x14ac:dyDescent="0.25">
      <c r="B307" s="54" t="s">
        <v>116</v>
      </c>
      <c r="C307" s="76">
        <v>73511</v>
      </c>
      <c r="D307" s="77" t="s">
        <v>542</v>
      </c>
      <c r="E307" s="76">
        <v>3</v>
      </c>
      <c r="H307" s="107">
        <f>+Tabla1[[#This Row],[CRÉDITOS]]-G307</f>
        <v>3</v>
      </c>
      <c r="I307" t="s">
        <v>1153</v>
      </c>
      <c r="J307" t="str">
        <f t="shared" si="4"/>
        <v>ELECTIVA V</v>
      </c>
    </row>
    <row r="308" spans="2:10" x14ac:dyDescent="0.25">
      <c r="B308" s="54" t="s">
        <v>116</v>
      </c>
      <c r="C308" s="76">
        <v>73512</v>
      </c>
      <c r="D308" s="77" t="s">
        <v>543</v>
      </c>
      <c r="E308" s="76">
        <v>3</v>
      </c>
      <c r="H308" s="107">
        <f>+Tabla1[[#This Row],[CRÉDITOS]]-G308</f>
        <v>3</v>
      </c>
      <c r="I308" t="s">
        <v>1154</v>
      </c>
      <c r="J308" t="str">
        <f t="shared" si="4"/>
        <v>PROFUNDIZACIÓN V</v>
      </c>
    </row>
    <row r="309" spans="2:10" x14ac:dyDescent="0.25">
      <c r="B309" s="54" t="s">
        <v>116</v>
      </c>
      <c r="C309" s="76">
        <v>73513</v>
      </c>
      <c r="D309" s="77" t="s">
        <v>544</v>
      </c>
      <c r="E309" s="76">
        <v>3</v>
      </c>
      <c r="H309" s="107">
        <f>+Tabla1[[#This Row],[CRÉDITOS]]-G309</f>
        <v>3</v>
      </c>
      <c r="I309" t="s">
        <v>1155</v>
      </c>
      <c r="J309" t="str">
        <f t="shared" si="4"/>
        <v>PROFUNDIZACIÓN VI</v>
      </c>
    </row>
    <row r="310" spans="2:10" x14ac:dyDescent="0.25">
      <c r="B310" s="54" t="s">
        <v>65</v>
      </c>
      <c r="C310" s="84">
        <v>30377</v>
      </c>
      <c r="D310" s="85" t="s">
        <v>547</v>
      </c>
      <c r="E310" s="75">
        <v>2</v>
      </c>
      <c r="H310" s="107">
        <f>+Tabla1[[#This Row],[CRÉDITOS]]-G310</f>
        <v>2</v>
      </c>
      <c r="I310" t="s">
        <v>1156</v>
      </c>
      <c r="J310" t="str">
        <f t="shared" si="4"/>
        <v>MATEMÁTICA I</v>
      </c>
    </row>
    <row r="311" spans="2:10" x14ac:dyDescent="0.25">
      <c r="B311" s="54" t="s">
        <v>65</v>
      </c>
      <c r="C311" s="84">
        <v>30521</v>
      </c>
      <c r="D311" s="85" t="s">
        <v>66</v>
      </c>
      <c r="E311" s="75">
        <v>2</v>
      </c>
      <c r="H311" s="107">
        <f>+Tabla1[[#This Row],[CRÉDITOS]]-G311</f>
        <v>2</v>
      </c>
      <c r="I311" t="s">
        <v>922</v>
      </c>
      <c r="J311" t="str">
        <f t="shared" si="4"/>
        <v>INGLÉS I</v>
      </c>
    </row>
    <row r="312" spans="2:10" x14ac:dyDescent="0.25">
      <c r="B312" s="54" t="s">
        <v>65</v>
      </c>
      <c r="C312" s="86">
        <v>30378</v>
      </c>
      <c r="D312" s="74" t="s">
        <v>56</v>
      </c>
      <c r="E312" s="73">
        <v>2</v>
      </c>
      <c r="H312" s="107">
        <f>+Tabla1[[#This Row],[CRÉDITOS]]-G312</f>
        <v>2</v>
      </c>
      <c r="I312" t="s">
        <v>919</v>
      </c>
      <c r="J312" t="str">
        <f t="shared" si="4"/>
        <v>COMUNICACIÓN ORAL Y ESCRITA</v>
      </c>
    </row>
    <row r="313" spans="2:10" x14ac:dyDescent="0.25">
      <c r="B313" s="54" t="s">
        <v>65</v>
      </c>
      <c r="C313" s="67">
        <v>30527</v>
      </c>
      <c r="D313" s="69" t="s">
        <v>101</v>
      </c>
      <c r="E313" s="70">
        <v>2</v>
      </c>
      <c r="H313" s="107">
        <f>+Tabla1[[#This Row],[CRÉDITOS]]-G313</f>
        <v>2</v>
      </c>
      <c r="I313" t="s">
        <v>927</v>
      </c>
      <c r="J313" t="str">
        <f t="shared" si="4"/>
        <v>FILOSOFÍA INSTITUCIONAL</v>
      </c>
    </row>
    <row r="314" spans="2:10" x14ac:dyDescent="0.25">
      <c r="B314" s="54" t="s">
        <v>65</v>
      </c>
      <c r="C314" s="67">
        <v>30379</v>
      </c>
      <c r="D314" s="69" t="s">
        <v>94</v>
      </c>
      <c r="E314" s="70">
        <v>3</v>
      </c>
      <c r="H314" s="107">
        <f>+Tabla1[[#This Row],[CRÉDITOS]]-G314</f>
        <v>3</v>
      </c>
      <c r="I314" t="s">
        <v>926</v>
      </c>
      <c r="J314" t="str">
        <f t="shared" si="4"/>
        <v>PENSAMIENTO ADMINISTRATIVO</v>
      </c>
    </row>
    <row r="315" spans="2:10" x14ac:dyDescent="0.25">
      <c r="B315" s="54" t="s">
        <v>65</v>
      </c>
      <c r="C315" s="67">
        <v>30380</v>
      </c>
      <c r="D315" s="69" t="s">
        <v>550</v>
      </c>
      <c r="E315" s="70">
        <v>3</v>
      </c>
      <c r="H315" s="107">
        <f>+Tabla1[[#This Row],[CRÉDITOS]]-G315</f>
        <v>3</v>
      </c>
      <c r="I315" t="s">
        <v>1157</v>
      </c>
      <c r="J315" t="str">
        <f t="shared" si="4"/>
        <v>FUNDAMENTOS DE ECONOMÍA</v>
      </c>
    </row>
    <row r="316" spans="2:10" x14ac:dyDescent="0.25">
      <c r="B316" s="54" t="s">
        <v>65</v>
      </c>
      <c r="C316" s="86">
        <v>30381</v>
      </c>
      <c r="D316" s="74" t="s">
        <v>552</v>
      </c>
      <c r="E316" s="73">
        <v>3</v>
      </c>
      <c r="H316" s="107">
        <f>+Tabla1[[#This Row],[CRÉDITOS]]-G316</f>
        <v>3</v>
      </c>
      <c r="I316" t="s">
        <v>1158</v>
      </c>
      <c r="J316" t="str">
        <f t="shared" si="4"/>
        <v>CONTABILIDAD PARA LAS ORGANIZACIONES</v>
      </c>
    </row>
    <row r="317" spans="2:10" x14ac:dyDescent="0.25">
      <c r="B317" s="54" t="s">
        <v>65</v>
      </c>
      <c r="C317" s="67">
        <v>30382</v>
      </c>
      <c r="D317" s="69" t="s">
        <v>553</v>
      </c>
      <c r="E317" s="70">
        <v>2</v>
      </c>
      <c r="H317" s="107">
        <f>+Tabla1[[#This Row],[CRÉDITOS]]-G317</f>
        <v>2</v>
      </c>
      <c r="I317" t="s">
        <v>1159</v>
      </c>
      <c r="J317" t="str">
        <f t="shared" si="4"/>
        <v>MATEMÁTICAS II</v>
      </c>
    </row>
    <row r="318" spans="2:10" x14ac:dyDescent="0.25">
      <c r="B318" s="54" t="s">
        <v>65</v>
      </c>
      <c r="C318" s="67">
        <v>30522</v>
      </c>
      <c r="D318" s="69" t="s">
        <v>108</v>
      </c>
      <c r="E318" s="70">
        <v>2</v>
      </c>
      <c r="H318" s="107">
        <f>+Tabla1[[#This Row],[CRÉDITOS]]-G318</f>
        <v>2</v>
      </c>
      <c r="I318" t="s">
        <v>986</v>
      </c>
      <c r="J318" t="str">
        <f t="shared" si="4"/>
        <v>INGLÉS II</v>
      </c>
    </row>
    <row r="319" spans="2:10" x14ac:dyDescent="0.25">
      <c r="B319" s="54" t="s">
        <v>65</v>
      </c>
      <c r="C319" s="67">
        <v>30528</v>
      </c>
      <c r="D319" s="69" t="s">
        <v>136</v>
      </c>
      <c r="E319" s="70">
        <v>2</v>
      </c>
      <c r="H319" s="107">
        <f>+Tabla1[[#This Row],[CRÉDITOS]]-G319</f>
        <v>2</v>
      </c>
      <c r="I319" t="s">
        <v>936</v>
      </c>
      <c r="J319" t="str">
        <f t="shared" si="4"/>
        <v>ANTROPOLOGÍA</v>
      </c>
    </row>
    <row r="320" spans="2:10" x14ac:dyDescent="0.25">
      <c r="B320" s="54" t="s">
        <v>65</v>
      </c>
      <c r="C320" s="86">
        <v>30383</v>
      </c>
      <c r="D320" s="74" t="s">
        <v>555</v>
      </c>
      <c r="E320" s="73">
        <v>3</v>
      </c>
      <c r="H320" s="107">
        <f>+Tabla1[[#This Row],[CRÉDITOS]]-G320</f>
        <v>3</v>
      </c>
      <c r="I320" t="s">
        <v>1160</v>
      </c>
      <c r="J320" t="str">
        <f t="shared" si="4"/>
        <v>TEORÍA DE LAS ORGANIZACIONES</v>
      </c>
    </row>
    <row r="321" spans="2:10" x14ac:dyDescent="0.25">
      <c r="B321" s="54" t="s">
        <v>65</v>
      </c>
      <c r="C321" s="67">
        <v>30384</v>
      </c>
      <c r="D321" s="69" t="s">
        <v>143</v>
      </c>
      <c r="E321" s="70">
        <v>2</v>
      </c>
      <c r="H321" s="107">
        <f>+Tabla1[[#This Row],[CRÉDITOS]]-G321</f>
        <v>2</v>
      </c>
      <c r="I321" t="s">
        <v>938</v>
      </c>
      <c r="J321" t="str">
        <f t="shared" si="4"/>
        <v>MICROECONOMÍA</v>
      </c>
    </row>
    <row r="322" spans="2:10" x14ac:dyDescent="0.25">
      <c r="B322" s="54" t="s">
        <v>65</v>
      </c>
      <c r="C322" s="67">
        <v>30385</v>
      </c>
      <c r="D322" s="69" t="s">
        <v>558</v>
      </c>
      <c r="E322" s="70">
        <v>3</v>
      </c>
      <c r="H322" s="107">
        <f>+Tabla1[[#This Row],[CRÉDITOS]]-G322</f>
        <v>3</v>
      </c>
      <c r="I322" t="s">
        <v>1161</v>
      </c>
      <c r="J322" t="str">
        <f t="shared" si="4"/>
        <v>RESPONSABILIDAD SOCIAL ORGANIZACIONAL</v>
      </c>
    </row>
    <row r="323" spans="2:10" x14ac:dyDescent="0.25">
      <c r="B323" s="54" t="s">
        <v>65</v>
      </c>
      <c r="C323" s="67">
        <v>30386</v>
      </c>
      <c r="D323" s="69" t="s">
        <v>237</v>
      </c>
      <c r="E323" s="70">
        <v>3</v>
      </c>
      <c r="H323" s="107">
        <f>+Tabla1[[#This Row],[CRÉDITOS]]-G323</f>
        <v>3</v>
      </c>
      <c r="I323" t="s">
        <v>982</v>
      </c>
      <c r="J323" t="str">
        <f t="shared" si="4"/>
        <v>CÁTEDRA OPCIONAL INSTITUCIONAL</v>
      </c>
    </row>
    <row r="324" spans="2:10" x14ac:dyDescent="0.25">
      <c r="B324" s="54" t="s">
        <v>65</v>
      </c>
      <c r="C324" s="67">
        <v>30387</v>
      </c>
      <c r="D324" s="69" t="s">
        <v>407</v>
      </c>
      <c r="E324" s="70">
        <v>2</v>
      </c>
      <c r="H324" s="107">
        <f>+Tabla1[[#This Row],[CRÉDITOS]]-G324</f>
        <v>2</v>
      </c>
      <c r="I324" t="s">
        <v>1080</v>
      </c>
      <c r="J324" t="str">
        <f t="shared" ref="J324:J387" si="5">+UPPER(I324)</f>
        <v>ESTADÍSTICA I</v>
      </c>
    </row>
    <row r="325" spans="2:10" x14ac:dyDescent="0.25">
      <c r="B325" s="54" t="s">
        <v>65</v>
      </c>
      <c r="C325" s="67">
        <v>30523</v>
      </c>
      <c r="D325" s="69" t="s">
        <v>139</v>
      </c>
      <c r="E325" s="70">
        <v>2</v>
      </c>
      <c r="H325" s="107">
        <f>+Tabla1[[#This Row],[CRÉDITOS]]-G325</f>
        <v>2</v>
      </c>
      <c r="I325" t="s">
        <v>937</v>
      </c>
      <c r="J325" t="str">
        <f t="shared" si="5"/>
        <v>INGLÉS III</v>
      </c>
    </row>
    <row r="326" spans="2:10" x14ac:dyDescent="0.25">
      <c r="B326" s="54" t="s">
        <v>65</v>
      </c>
      <c r="C326" s="67">
        <v>30529</v>
      </c>
      <c r="D326" s="69" t="s">
        <v>160</v>
      </c>
      <c r="E326" s="70">
        <v>2</v>
      </c>
      <c r="H326" s="107">
        <f>+Tabla1[[#This Row],[CRÉDITOS]]-G326</f>
        <v>2</v>
      </c>
      <c r="I326" t="s">
        <v>945</v>
      </c>
      <c r="J326" t="str">
        <f t="shared" si="5"/>
        <v>EPISTEMOLOGÍA</v>
      </c>
    </row>
    <row r="327" spans="2:10" x14ac:dyDescent="0.25">
      <c r="B327" s="54" t="s">
        <v>65</v>
      </c>
      <c r="C327" s="67">
        <v>30388</v>
      </c>
      <c r="D327" s="69" t="s">
        <v>562</v>
      </c>
      <c r="E327" s="70">
        <v>3</v>
      </c>
      <c r="H327" s="107">
        <f>+Tabla1[[#This Row],[CRÉDITOS]]-G327</f>
        <v>3</v>
      </c>
      <c r="I327" t="s">
        <v>1162</v>
      </c>
      <c r="J327" t="str">
        <f t="shared" si="5"/>
        <v>NEGOCIOS INCLUSIVOS Y VALOR COMPARTIDO</v>
      </c>
    </row>
    <row r="328" spans="2:10" x14ac:dyDescent="0.25">
      <c r="B328" s="54" t="s">
        <v>65</v>
      </c>
      <c r="C328" s="67">
        <v>30389</v>
      </c>
      <c r="D328" s="69" t="s">
        <v>563</v>
      </c>
      <c r="E328" s="70">
        <v>3</v>
      </c>
      <c r="H328" s="107">
        <f>+Tabla1[[#This Row],[CRÉDITOS]]-G328</f>
        <v>3</v>
      </c>
      <c r="I328" t="s">
        <v>1163</v>
      </c>
      <c r="J328" t="str">
        <f t="shared" si="5"/>
        <v>CREATIVIDAD E INNOVACIÓN ORGANIZACIONAL</v>
      </c>
    </row>
    <row r="329" spans="2:10" x14ac:dyDescent="0.25">
      <c r="B329" s="54" t="s">
        <v>65</v>
      </c>
      <c r="C329" s="67">
        <v>30390</v>
      </c>
      <c r="D329" s="69" t="s">
        <v>153</v>
      </c>
      <c r="E329" s="70">
        <v>3</v>
      </c>
      <c r="H329" s="107">
        <f>+Tabla1[[#This Row],[CRÉDITOS]]-G329</f>
        <v>3</v>
      </c>
      <c r="I329" t="s">
        <v>943</v>
      </c>
      <c r="J329" t="str">
        <f t="shared" si="5"/>
        <v>COSTOS Y PRESUPUESTOS</v>
      </c>
    </row>
    <row r="330" spans="2:10" x14ac:dyDescent="0.25">
      <c r="B330" s="54" t="s">
        <v>65</v>
      </c>
      <c r="C330" s="86">
        <v>30391</v>
      </c>
      <c r="D330" s="74" t="s">
        <v>565</v>
      </c>
      <c r="E330" s="73">
        <v>2</v>
      </c>
      <c r="H330" s="107">
        <f>+Tabla1[[#This Row],[CRÉDITOS]]-G330</f>
        <v>2</v>
      </c>
      <c r="I330" t="s">
        <v>1164</v>
      </c>
      <c r="J330" t="str">
        <f t="shared" si="5"/>
        <v>DERECHO CONSTITUCIONAL Y ADMINISTRATIVO</v>
      </c>
    </row>
    <row r="331" spans="2:10" x14ac:dyDescent="0.25">
      <c r="B331" s="54" t="s">
        <v>65</v>
      </c>
      <c r="C331" s="67">
        <v>30392</v>
      </c>
      <c r="D331" s="69" t="s">
        <v>412</v>
      </c>
      <c r="E331" s="70">
        <v>2</v>
      </c>
      <c r="H331" s="107">
        <f>+Tabla1[[#This Row],[CRÉDITOS]]-G331</f>
        <v>2</v>
      </c>
      <c r="I331" t="s">
        <v>1084</v>
      </c>
      <c r="J331" t="str">
        <f t="shared" si="5"/>
        <v>ESTADÍSTICA II</v>
      </c>
    </row>
    <row r="332" spans="2:10" x14ac:dyDescent="0.25">
      <c r="B332" s="54" t="s">
        <v>65</v>
      </c>
      <c r="C332" s="67">
        <v>30524</v>
      </c>
      <c r="D332" s="69" t="s">
        <v>163</v>
      </c>
      <c r="E332" s="70">
        <v>2</v>
      </c>
      <c r="H332" s="107">
        <f>+Tabla1[[#This Row],[CRÉDITOS]]-G332</f>
        <v>2</v>
      </c>
      <c r="I332" t="s">
        <v>946</v>
      </c>
      <c r="J332" t="str">
        <f t="shared" si="5"/>
        <v>INGLÉS IV</v>
      </c>
    </row>
    <row r="333" spans="2:10" x14ac:dyDescent="0.25">
      <c r="B333" s="54" t="s">
        <v>65</v>
      </c>
      <c r="C333" s="67">
        <v>30530</v>
      </c>
      <c r="D333" s="69" t="s">
        <v>184</v>
      </c>
      <c r="E333" s="70">
        <v>2</v>
      </c>
      <c r="H333" s="107">
        <f>+Tabla1[[#This Row],[CRÉDITOS]]-G333</f>
        <v>2</v>
      </c>
      <c r="I333" t="s">
        <v>953</v>
      </c>
      <c r="J333" t="str">
        <f t="shared" si="5"/>
        <v>CULTURA TEOLÓGICA</v>
      </c>
    </row>
    <row r="334" spans="2:10" ht="28.5" x14ac:dyDescent="0.25">
      <c r="B334" s="54" t="s">
        <v>65</v>
      </c>
      <c r="C334" s="67">
        <v>30393</v>
      </c>
      <c r="D334" s="69" t="s">
        <v>567</v>
      </c>
      <c r="E334" s="70">
        <v>3</v>
      </c>
      <c r="H334" s="107">
        <f>+Tabla1[[#This Row],[CRÉDITOS]]-G334</f>
        <v>3</v>
      </c>
      <c r="I334" t="s">
        <v>1165</v>
      </c>
      <c r="J334" t="str">
        <f t="shared" si="5"/>
        <v>GESTIÓN DEL CONOCIMIENTO Y APRENDIZAJE ORGANIZACIONAL</v>
      </c>
    </row>
    <row r="335" spans="2:10" x14ac:dyDescent="0.25">
      <c r="B335" s="54" t="s">
        <v>65</v>
      </c>
      <c r="C335" s="67">
        <v>30394</v>
      </c>
      <c r="D335" s="69" t="s">
        <v>165</v>
      </c>
      <c r="E335" s="70">
        <v>2</v>
      </c>
      <c r="H335" s="107">
        <f>+Tabla1[[#This Row],[CRÉDITOS]]-G335</f>
        <v>2</v>
      </c>
      <c r="I335" t="s">
        <v>947</v>
      </c>
      <c r="J335" t="str">
        <f t="shared" si="5"/>
        <v>MACROECONOMÍA</v>
      </c>
    </row>
    <row r="336" spans="2:10" x14ac:dyDescent="0.25">
      <c r="B336" s="54" t="s">
        <v>65</v>
      </c>
      <c r="C336" s="67">
        <v>30395</v>
      </c>
      <c r="D336" s="69" t="s">
        <v>419</v>
      </c>
      <c r="E336" s="70">
        <v>3</v>
      </c>
      <c r="H336" s="107">
        <f>+Tabla1[[#This Row],[CRÉDITOS]]-G336</f>
        <v>3</v>
      </c>
      <c r="I336" t="s">
        <v>1088</v>
      </c>
      <c r="J336" t="str">
        <f t="shared" si="5"/>
        <v>ANÁLISIS FINANCIERO</v>
      </c>
    </row>
    <row r="337" spans="2:10" x14ac:dyDescent="0.25">
      <c r="B337" s="54" t="s">
        <v>65</v>
      </c>
      <c r="C337" s="84">
        <v>30396</v>
      </c>
      <c r="D337" s="85" t="s">
        <v>1166</v>
      </c>
      <c r="E337" s="75">
        <v>3</v>
      </c>
      <c r="H337" s="107">
        <f>+Tabla1[[#This Row],[CRÉDITOS]]-G337</f>
        <v>3</v>
      </c>
      <c r="I337" t="s">
        <v>1167</v>
      </c>
      <c r="J337" t="str">
        <f t="shared" si="5"/>
        <v>FUNDAMENTO DE MERCADEO</v>
      </c>
    </row>
    <row r="338" spans="2:10" x14ac:dyDescent="0.25">
      <c r="B338" s="54" t="s">
        <v>65</v>
      </c>
      <c r="C338" s="67">
        <v>30524</v>
      </c>
      <c r="D338" s="69" t="s">
        <v>201</v>
      </c>
      <c r="E338" s="70">
        <v>2</v>
      </c>
      <c r="H338" s="107">
        <f>+Tabla1[[#This Row],[CRÉDITOS]]-G338</f>
        <v>2</v>
      </c>
      <c r="I338" t="s">
        <v>960</v>
      </c>
      <c r="J338" t="str">
        <f t="shared" si="5"/>
        <v>INGLÉS V</v>
      </c>
    </row>
    <row r="339" spans="2:10" x14ac:dyDescent="0.25">
      <c r="B339" s="54" t="s">
        <v>65</v>
      </c>
      <c r="C339" s="67">
        <v>30531</v>
      </c>
      <c r="D339" s="69" t="s">
        <v>202</v>
      </c>
      <c r="E339" s="70">
        <v>2</v>
      </c>
      <c r="H339" s="107">
        <f>+Tabla1[[#This Row],[CRÉDITOS]]-G339</f>
        <v>2</v>
      </c>
      <c r="I339" t="s">
        <v>961</v>
      </c>
      <c r="J339" t="str">
        <f t="shared" si="5"/>
        <v>FILOSOFÍA POLÍTICA</v>
      </c>
    </row>
    <row r="340" spans="2:10" x14ac:dyDescent="0.25">
      <c r="B340" s="54" t="s">
        <v>65</v>
      </c>
      <c r="C340" s="67">
        <v>30501</v>
      </c>
      <c r="D340" s="69" t="s">
        <v>572</v>
      </c>
      <c r="E340" s="70">
        <v>3</v>
      </c>
      <c r="H340" s="107">
        <f>+Tabla1[[#This Row],[CRÉDITOS]]-G340</f>
        <v>3</v>
      </c>
      <c r="I340" t="s">
        <v>1168</v>
      </c>
      <c r="J340" t="str">
        <f t="shared" si="5"/>
        <v>ESTRATEGIA</v>
      </c>
    </row>
    <row r="341" spans="2:10" x14ac:dyDescent="0.25">
      <c r="B341" s="54" t="s">
        <v>65</v>
      </c>
      <c r="C341" s="67">
        <v>30502</v>
      </c>
      <c r="D341" s="69" t="s">
        <v>573</v>
      </c>
      <c r="E341" s="70">
        <v>3</v>
      </c>
      <c r="H341" s="107">
        <f>+Tabla1[[#This Row],[CRÉDITOS]]-G341</f>
        <v>3</v>
      </c>
      <c r="I341" t="s">
        <v>1169</v>
      </c>
      <c r="J341" t="str">
        <f t="shared" si="5"/>
        <v>INGENIERÍA ECONÓMICA</v>
      </c>
    </row>
    <row r="342" spans="2:10" x14ac:dyDescent="0.25">
      <c r="B342" s="54" t="s">
        <v>65</v>
      </c>
      <c r="C342" s="67">
        <v>30503</v>
      </c>
      <c r="D342" s="69" t="s">
        <v>375</v>
      </c>
      <c r="E342" s="70">
        <v>3</v>
      </c>
      <c r="H342" s="107">
        <f>+Tabla1[[#This Row],[CRÉDITOS]]-G342</f>
        <v>3</v>
      </c>
      <c r="I342" t="s">
        <v>1060</v>
      </c>
      <c r="J342" t="str">
        <f t="shared" si="5"/>
        <v>INVESTIGACIÓN DE OPERACIONES</v>
      </c>
    </row>
    <row r="343" spans="2:10" x14ac:dyDescent="0.25">
      <c r="B343" s="54" t="s">
        <v>65</v>
      </c>
      <c r="C343" s="67">
        <v>30504</v>
      </c>
      <c r="D343" s="69" t="s">
        <v>575</v>
      </c>
      <c r="E343" s="70">
        <v>2</v>
      </c>
      <c r="H343" s="107">
        <f>+Tabla1[[#This Row],[CRÉDITOS]]-G343</f>
        <v>2</v>
      </c>
      <c r="I343" t="s">
        <v>1170</v>
      </c>
      <c r="J343" t="str">
        <f t="shared" si="5"/>
        <v>DERECHO COMERCIAL Y TRIBUTARIO</v>
      </c>
    </row>
    <row r="344" spans="2:10" x14ac:dyDescent="0.25">
      <c r="B344" s="54" t="s">
        <v>65</v>
      </c>
      <c r="C344" s="67">
        <v>30505</v>
      </c>
      <c r="D344" s="69" t="s">
        <v>576</v>
      </c>
      <c r="E344" s="70">
        <v>2</v>
      </c>
      <c r="H344" s="107">
        <f>+Tabla1[[#This Row],[CRÉDITOS]]-G344</f>
        <v>2</v>
      </c>
      <c r="I344" t="s">
        <v>1171</v>
      </c>
      <c r="J344" t="str">
        <f t="shared" si="5"/>
        <v>INVESTIGACIÓN DE MERCADOS</v>
      </c>
    </row>
    <row r="345" spans="2:10" x14ac:dyDescent="0.25">
      <c r="B345" s="54" t="s">
        <v>65</v>
      </c>
      <c r="C345" s="67">
        <v>30526</v>
      </c>
      <c r="D345" s="69" t="s">
        <v>213</v>
      </c>
      <c r="E345" s="70">
        <v>2</v>
      </c>
      <c r="H345" s="107">
        <f>+Tabla1[[#This Row],[CRÉDITOS]]-G345</f>
        <v>2</v>
      </c>
      <c r="I345" t="s">
        <v>968</v>
      </c>
      <c r="J345" t="str">
        <f t="shared" si="5"/>
        <v>INGLÉS VI</v>
      </c>
    </row>
    <row r="346" spans="2:10" x14ac:dyDescent="0.25">
      <c r="B346" s="54" t="s">
        <v>65</v>
      </c>
      <c r="C346" s="67">
        <v>30532</v>
      </c>
      <c r="D346" s="69" t="s">
        <v>214</v>
      </c>
      <c r="E346" s="70">
        <v>2</v>
      </c>
      <c r="H346" s="107">
        <f>+Tabla1[[#This Row],[CRÉDITOS]]-G346</f>
        <v>2</v>
      </c>
      <c r="I346" t="s">
        <v>969</v>
      </c>
      <c r="J346" t="str">
        <f t="shared" si="5"/>
        <v>ÉTICA</v>
      </c>
    </row>
    <row r="347" spans="2:10" ht="28.5" x14ac:dyDescent="0.25">
      <c r="B347" s="54" t="s">
        <v>65</v>
      </c>
      <c r="C347" s="67">
        <v>30506</v>
      </c>
      <c r="D347" s="69" t="s">
        <v>578</v>
      </c>
      <c r="E347" s="70">
        <v>3</v>
      </c>
      <c r="H347" s="107">
        <f>+Tabla1[[#This Row],[CRÉDITOS]]-G347</f>
        <v>3</v>
      </c>
      <c r="I347" t="s">
        <v>1172</v>
      </c>
      <c r="J347" t="str">
        <f t="shared" si="5"/>
        <v>PRÁCTICA DE RESPONSABILIDAD SOCIAL UNIVERSITARIA</v>
      </c>
    </row>
    <row r="348" spans="2:10" ht="28.5" x14ac:dyDescent="0.25">
      <c r="B348" s="54" t="s">
        <v>65</v>
      </c>
      <c r="C348" s="84">
        <v>30507</v>
      </c>
      <c r="D348" s="85" t="s">
        <v>579</v>
      </c>
      <c r="E348" s="75">
        <v>2</v>
      </c>
      <c r="H348" s="107">
        <f>+Tabla1[[#This Row],[CRÉDITOS]]-G348</f>
        <v>2</v>
      </c>
      <c r="I348" t="s">
        <v>1173</v>
      </c>
      <c r="J348" t="str">
        <f t="shared" si="5"/>
        <v>SISTEMAS DE INFORMACIÓN GERENCIAL (VIRTUAL)</v>
      </c>
    </row>
    <row r="349" spans="2:10" x14ac:dyDescent="0.25">
      <c r="B349" s="54" t="s">
        <v>65</v>
      </c>
      <c r="C349" s="67">
        <v>30508</v>
      </c>
      <c r="D349" s="69" t="s">
        <v>581</v>
      </c>
      <c r="E349" s="70">
        <v>3</v>
      </c>
      <c r="H349" s="107">
        <f>+Tabla1[[#This Row],[CRÉDITOS]]-G349</f>
        <v>3</v>
      </c>
      <c r="I349" t="s">
        <v>1174</v>
      </c>
      <c r="J349" t="str">
        <f t="shared" si="5"/>
        <v>CREACIÓN DE EMPRESAS</v>
      </c>
    </row>
    <row r="350" spans="2:10" x14ac:dyDescent="0.25">
      <c r="B350" s="54" t="s">
        <v>65</v>
      </c>
      <c r="C350" s="67">
        <v>30509</v>
      </c>
      <c r="D350" s="69" t="s">
        <v>582</v>
      </c>
      <c r="E350" s="70">
        <v>3</v>
      </c>
      <c r="H350" s="107">
        <f>+Tabla1[[#This Row],[CRÉDITOS]]-G350</f>
        <v>3</v>
      </c>
      <c r="I350" t="s">
        <v>1175</v>
      </c>
      <c r="J350" t="str">
        <f t="shared" si="5"/>
        <v>HABILIDADES GERENCIALES</v>
      </c>
    </row>
    <row r="351" spans="2:10" x14ac:dyDescent="0.25">
      <c r="B351" s="54" t="s">
        <v>65</v>
      </c>
      <c r="C351" s="67">
        <v>30510</v>
      </c>
      <c r="D351" s="69" t="s">
        <v>302</v>
      </c>
      <c r="E351" s="70">
        <v>3</v>
      </c>
      <c r="H351" s="107">
        <f>+Tabla1[[#This Row],[CRÉDITOS]]-G351</f>
        <v>3</v>
      </c>
      <c r="I351" t="s">
        <v>1017</v>
      </c>
      <c r="J351" t="str">
        <f t="shared" si="5"/>
        <v>PROFUNDIZACIÓN I</v>
      </c>
    </row>
    <row r="352" spans="2:10" x14ac:dyDescent="0.25">
      <c r="B352" s="54" t="s">
        <v>65</v>
      </c>
      <c r="C352" s="67">
        <v>30511</v>
      </c>
      <c r="D352" s="69" t="s">
        <v>585</v>
      </c>
      <c r="E352" s="70">
        <v>3</v>
      </c>
      <c r="H352" s="107">
        <f>+Tabla1[[#This Row],[CRÉDITOS]]-G352</f>
        <v>3</v>
      </c>
      <c r="I352" t="s">
        <v>1176</v>
      </c>
      <c r="J352" t="str">
        <f t="shared" si="5"/>
        <v>EVALUACIÓN INTEGRAL DE PROYECTOS</v>
      </c>
    </row>
    <row r="353" spans="2:10" x14ac:dyDescent="0.25">
      <c r="B353" s="54" t="s">
        <v>65</v>
      </c>
      <c r="C353" s="67">
        <v>30512</v>
      </c>
      <c r="D353" s="69" t="s">
        <v>199</v>
      </c>
      <c r="E353" s="70">
        <v>2</v>
      </c>
      <c r="H353" s="107">
        <f>+Tabla1[[#This Row],[CRÉDITOS]]-G353</f>
        <v>2</v>
      </c>
      <c r="I353" t="s">
        <v>1177</v>
      </c>
      <c r="J353" t="str">
        <f t="shared" si="5"/>
        <v>NEGOCIACIÓN INTERNACIONAL</v>
      </c>
    </row>
    <row r="354" spans="2:10" x14ac:dyDescent="0.25">
      <c r="B354" s="54" t="s">
        <v>65</v>
      </c>
      <c r="C354" s="67">
        <v>30513</v>
      </c>
      <c r="D354" s="69" t="s">
        <v>586</v>
      </c>
      <c r="E354" s="70">
        <v>2</v>
      </c>
      <c r="H354" s="107">
        <f>+Tabla1[[#This Row],[CRÉDITOS]]-G354</f>
        <v>2</v>
      </c>
      <c r="I354" t="s">
        <v>1178</v>
      </c>
      <c r="J354" t="str">
        <f t="shared" si="5"/>
        <v>ADMINISTRACIÓN DE LA PRODUCCIÓN</v>
      </c>
    </row>
    <row r="355" spans="2:10" ht="28.5" x14ac:dyDescent="0.25">
      <c r="B355" s="54" t="s">
        <v>65</v>
      </c>
      <c r="C355" s="67">
        <v>30514</v>
      </c>
      <c r="D355" s="69" t="s">
        <v>587</v>
      </c>
      <c r="E355" s="70">
        <v>2</v>
      </c>
      <c r="H355" s="107">
        <f>+Tabla1[[#This Row],[CRÉDITOS]]-G355</f>
        <v>2</v>
      </c>
      <c r="I355" t="s">
        <v>1179</v>
      </c>
      <c r="J355" t="str">
        <f t="shared" si="5"/>
        <v>DERECHO LABORAL Y SEGURIDAD EN EL TRABAJO</v>
      </c>
    </row>
    <row r="356" spans="2:10" x14ac:dyDescent="0.25">
      <c r="B356" s="54" t="s">
        <v>65</v>
      </c>
      <c r="C356" s="86">
        <v>30515</v>
      </c>
      <c r="D356" s="74" t="s">
        <v>588</v>
      </c>
      <c r="E356" s="73">
        <v>3</v>
      </c>
      <c r="H356" s="107">
        <f>+Tabla1[[#This Row],[CRÉDITOS]]-G356</f>
        <v>3</v>
      </c>
      <c r="I356" t="s">
        <v>1180</v>
      </c>
      <c r="J356" t="str">
        <f t="shared" si="5"/>
        <v>GERENCIA DEL TALENTO HUMANO</v>
      </c>
    </row>
    <row r="357" spans="2:10" x14ac:dyDescent="0.25">
      <c r="B357" s="54" t="s">
        <v>65</v>
      </c>
      <c r="C357" s="67">
        <v>30516</v>
      </c>
      <c r="D357" s="69" t="s">
        <v>128</v>
      </c>
      <c r="E357" s="70">
        <v>3</v>
      </c>
      <c r="H357" s="107">
        <f>+Tabla1[[#This Row],[CRÉDITOS]]-G357</f>
        <v>3</v>
      </c>
      <c r="I357" t="s">
        <v>934</v>
      </c>
      <c r="J357" t="str">
        <f t="shared" si="5"/>
        <v>OPCIONAL COMPLEMENTARIA</v>
      </c>
    </row>
    <row r="358" spans="2:10" x14ac:dyDescent="0.25">
      <c r="B358" s="54" t="s">
        <v>65</v>
      </c>
      <c r="C358" s="67">
        <v>30517</v>
      </c>
      <c r="D358" s="69" t="s">
        <v>304</v>
      </c>
      <c r="E358" s="70">
        <v>3</v>
      </c>
      <c r="H358" s="107">
        <f>+Tabla1[[#This Row],[CRÉDITOS]]-G358</f>
        <v>3</v>
      </c>
      <c r="I358" t="s">
        <v>1018</v>
      </c>
      <c r="J358" t="str">
        <f t="shared" si="5"/>
        <v>PROFUNDIZACIÓN II</v>
      </c>
    </row>
    <row r="359" spans="2:10" x14ac:dyDescent="0.25">
      <c r="B359" s="54" t="s">
        <v>65</v>
      </c>
      <c r="C359" s="67">
        <v>30518</v>
      </c>
      <c r="D359" s="69" t="s">
        <v>593</v>
      </c>
      <c r="E359" s="70">
        <v>10</v>
      </c>
      <c r="H359" s="107">
        <f>+Tabla1[[#This Row],[CRÉDITOS]]-G359</f>
        <v>10</v>
      </c>
      <c r="I359" t="s">
        <v>1181</v>
      </c>
      <c r="J359" t="str">
        <f t="shared" si="5"/>
        <v>PRÁCTICA PROFESIONAL</v>
      </c>
    </row>
    <row r="360" spans="2:10" x14ac:dyDescent="0.25">
      <c r="B360" s="54" t="s">
        <v>65</v>
      </c>
      <c r="C360" s="67">
        <v>30519</v>
      </c>
      <c r="D360" s="69" t="s">
        <v>311</v>
      </c>
      <c r="E360" s="70">
        <v>3</v>
      </c>
      <c r="H360" s="107">
        <f>+Tabla1[[#This Row],[CRÉDITOS]]-G360</f>
        <v>3</v>
      </c>
      <c r="I360" t="s">
        <v>1021</v>
      </c>
      <c r="J360" t="str">
        <f t="shared" si="5"/>
        <v>PROFUNDIZACIÓN III</v>
      </c>
    </row>
    <row r="361" spans="2:10" x14ac:dyDescent="0.25">
      <c r="B361" s="54" t="s">
        <v>65</v>
      </c>
      <c r="C361" s="67">
        <v>30520</v>
      </c>
      <c r="D361" s="69" t="s">
        <v>307</v>
      </c>
      <c r="E361" s="70">
        <v>4</v>
      </c>
      <c r="H361" s="107">
        <f>+Tabla1[[#This Row],[CRÉDITOS]]-G361</f>
        <v>4</v>
      </c>
      <c r="I361" t="s">
        <v>1019</v>
      </c>
      <c r="J361" t="str">
        <f t="shared" si="5"/>
        <v>OPCIÓN DE GRADO</v>
      </c>
    </row>
    <row r="362" spans="2:10" x14ac:dyDescent="0.25">
      <c r="B362" s="54" t="s">
        <v>93</v>
      </c>
      <c r="C362" s="87">
        <v>96110</v>
      </c>
      <c r="D362" s="88" t="s">
        <v>240</v>
      </c>
      <c r="E362" s="89">
        <v>2</v>
      </c>
      <c r="H362" s="107">
        <f>+Tabla1[[#This Row],[CRÉDITOS]]-G362</f>
        <v>2</v>
      </c>
      <c r="I362" t="s">
        <v>984</v>
      </c>
      <c r="J362" t="str">
        <f t="shared" si="5"/>
        <v>CÁLCULO DIFERENCIAL</v>
      </c>
    </row>
    <row r="363" spans="2:10" x14ac:dyDescent="0.25">
      <c r="B363" s="54" t="s">
        <v>93</v>
      </c>
      <c r="C363" s="87">
        <v>96201</v>
      </c>
      <c r="D363" s="88" t="s">
        <v>242</v>
      </c>
      <c r="E363" s="89">
        <v>3</v>
      </c>
      <c r="H363" s="107">
        <f>+Tabla1[[#This Row],[CRÉDITOS]]-G363</f>
        <v>3</v>
      </c>
      <c r="I363" t="s">
        <v>985</v>
      </c>
      <c r="J363" t="str">
        <f t="shared" si="5"/>
        <v>QUÍMICA GENERAL</v>
      </c>
    </row>
    <row r="364" spans="2:10" x14ac:dyDescent="0.25">
      <c r="B364" s="54" t="s">
        <v>93</v>
      </c>
      <c r="C364" s="86">
        <v>10103</v>
      </c>
      <c r="D364" s="74" t="s">
        <v>321</v>
      </c>
      <c r="E364" s="73">
        <v>3</v>
      </c>
      <c r="H364" s="107">
        <f>+Tabla1[[#This Row],[CRÉDITOS]]-G364</f>
        <v>3</v>
      </c>
      <c r="I364" t="s">
        <v>1025</v>
      </c>
      <c r="J364" t="str">
        <f t="shared" si="5"/>
        <v>INTRODUCCIÓN A LA INGENIERÍA</v>
      </c>
    </row>
    <row r="365" spans="2:10" x14ac:dyDescent="0.25">
      <c r="B365" s="54" t="s">
        <v>93</v>
      </c>
      <c r="C365" s="86">
        <v>30103</v>
      </c>
      <c r="D365" s="74" t="s">
        <v>497</v>
      </c>
      <c r="E365" s="73">
        <v>4</v>
      </c>
      <c r="H365" s="107">
        <f>+Tabla1[[#This Row],[CRÉDITOS]]-G365</f>
        <v>4</v>
      </c>
      <c r="I365" t="s">
        <v>1182</v>
      </c>
      <c r="J365" t="str">
        <f t="shared" si="5"/>
        <v>DIBUJO TÉCNICO Y DESCRIPTIVA</v>
      </c>
    </row>
    <row r="366" spans="2:10" x14ac:dyDescent="0.25">
      <c r="B366" s="54" t="s">
        <v>93</v>
      </c>
      <c r="C366" s="87">
        <v>95108</v>
      </c>
      <c r="D366" s="88" t="s">
        <v>101</v>
      </c>
      <c r="E366" s="89">
        <v>2</v>
      </c>
      <c r="H366" s="107">
        <f>+Tabla1[[#This Row],[CRÉDITOS]]-G366</f>
        <v>2</v>
      </c>
      <c r="I366" t="s">
        <v>927</v>
      </c>
      <c r="J366" t="str">
        <f t="shared" si="5"/>
        <v>FILOSOFÍA INSTITUCIONAL</v>
      </c>
    </row>
    <row r="367" spans="2:10" x14ac:dyDescent="0.25">
      <c r="B367" s="54" t="s">
        <v>93</v>
      </c>
      <c r="C367" s="87">
        <v>95213</v>
      </c>
      <c r="D367" s="90" t="s">
        <v>600</v>
      </c>
      <c r="E367" s="89">
        <v>1</v>
      </c>
      <c r="H367" s="107">
        <f>+Tabla1[[#This Row],[CRÉDITOS]]-G367</f>
        <v>1</v>
      </c>
      <c r="I367" t="s">
        <v>1183</v>
      </c>
      <c r="J367" t="str">
        <f t="shared" si="5"/>
        <v>INGLÉS 1</v>
      </c>
    </row>
    <row r="368" spans="2:10" x14ac:dyDescent="0.25">
      <c r="B368" s="54" t="s">
        <v>93</v>
      </c>
      <c r="C368" s="67">
        <v>96111</v>
      </c>
      <c r="D368" s="88" t="s">
        <v>247</v>
      </c>
      <c r="E368" s="70">
        <v>3</v>
      </c>
      <c r="H368" s="107">
        <f>+Tabla1[[#This Row],[CRÉDITOS]]-G368</f>
        <v>3</v>
      </c>
      <c r="I368" t="s">
        <v>988</v>
      </c>
      <c r="J368" t="str">
        <f t="shared" si="5"/>
        <v>ÁLGEBRA LINEAL</v>
      </c>
    </row>
    <row r="369" spans="2:10" x14ac:dyDescent="0.25">
      <c r="B369" s="54" t="s">
        <v>93</v>
      </c>
      <c r="C369" s="67">
        <v>96112</v>
      </c>
      <c r="D369" s="88" t="s">
        <v>235</v>
      </c>
      <c r="E369" s="70">
        <v>3</v>
      </c>
      <c r="H369" s="107">
        <f>+Tabla1[[#This Row],[CRÉDITOS]]-G369</f>
        <v>3</v>
      </c>
      <c r="I369" t="s">
        <v>981</v>
      </c>
      <c r="J369" t="str">
        <f t="shared" si="5"/>
        <v>FÍSICA MECÁNICA</v>
      </c>
    </row>
    <row r="370" spans="2:10" x14ac:dyDescent="0.25">
      <c r="B370" s="54" t="s">
        <v>93</v>
      </c>
      <c r="C370" s="67">
        <v>96113</v>
      </c>
      <c r="D370" s="88" t="s">
        <v>249</v>
      </c>
      <c r="E370" s="70">
        <v>3</v>
      </c>
      <c r="H370" s="107">
        <f>+Tabla1[[#This Row],[CRÉDITOS]]-G370</f>
        <v>3</v>
      </c>
      <c r="I370" t="s">
        <v>989</v>
      </c>
      <c r="J370" t="str">
        <f t="shared" si="5"/>
        <v>CÁLCULO INTEGRAL</v>
      </c>
    </row>
    <row r="371" spans="2:10" x14ac:dyDescent="0.25">
      <c r="B371" s="54" t="s">
        <v>93</v>
      </c>
      <c r="C371" s="86">
        <v>10107</v>
      </c>
      <c r="D371" s="74" t="s">
        <v>489</v>
      </c>
      <c r="E371" s="73">
        <v>4</v>
      </c>
      <c r="H371" s="107">
        <f>+Tabla1[[#This Row],[CRÉDITOS]]-G371</f>
        <v>4</v>
      </c>
      <c r="I371" t="s">
        <v>1184</v>
      </c>
      <c r="J371" t="str">
        <f t="shared" si="5"/>
        <v>TOPOGRAFÍA Y FOTOGRAMETRÍA</v>
      </c>
    </row>
    <row r="372" spans="2:10" x14ac:dyDescent="0.25">
      <c r="B372" s="54" t="s">
        <v>93</v>
      </c>
      <c r="C372" s="67">
        <v>95109</v>
      </c>
      <c r="D372" s="88" t="s">
        <v>136</v>
      </c>
      <c r="E372" s="70">
        <v>2</v>
      </c>
      <c r="H372" s="107">
        <f>+Tabla1[[#This Row],[CRÉDITOS]]-G372</f>
        <v>2</v>
      </c>
      <c r="I372" t="s">
        <v>936</v>
      </c>
      <c r="J372" t="str">
        <f t="shared" si="5"/>
        <v>ANTROPOLOGÍA</v>
      </c>
    </row>
    <row r="373" spans="2:10" x14ac:dyDescent="0.25">
      <c r="B373" s="54" t="s">
        <v>93</v>
      </c>
      <c r="C373" s="67">
        <v>95214</v>
      </c>
      <c r="D373" s="88" t="s">
        <v>603</v>
      </c>
      <c r="E373" s="70">
        <v>1</v>
      </c>
      <c r="H373" s="107">
        <f>+Tabla1[[#This Row],[CRÉDITOS]]-G373</f>
        <v>1</v>
      </c>
      <c r="I373" t="s">
        <v>1185</v>
      </c>
      <c r="J373" t="str">
        <f t="shared" si="5"/>
        <v>INGLÉS 2</v>
      </c>
    </row>
    <row r="374" spans="2:10" x14ac:dyDescent="0.25">
      <c r="B374" s="54" t="s">
        <v>93</v>
      </c>
      <c r="C374" s="67">
        <v>96115</v>
      </c>
      <c r="D374" s="91" t="s">
        <v>256</v>
      </c>
      <c r="E374" s="92">
        <v>3</v>
      </c>
      <c r="H374" s="107">
        <f>+Tabla1[[#This Row],[CRÉDITOS]]-G374</f>
        <v>3</v>
      </c>
      <c r="I374" t="s">
        <v>994</v>
      </c>
      <c r="J374" t="str">
        <f t="shared" si="5"/>
        <v>CÁLCULO VECTORIAL</v>
      </c>
    </row>
    <row r="375" spans="2:10" x14ac:dyDescent="0.25">
      <c r="B375" s="54" t="s">
        <v>93</v>
      </c>
      <c r="C375" s="67">
        <v>96116</v>
      </c>
      <c r="D375" s="91" t="s">
        <v>605</v>
      </c>
      <c r="E375" s="92">
        <v>3</v>
      </c>
      <c r="H375" s="107">
        <f>+Tabla1[[#This Row],[CRÉDITOS]]-G375</f>
        <v>3</v>
      </c>
      <c r="I375" t="s">
        <v>1186</v>
      </c>
      <c r="J375" t="str">
        <f t="shared" si="5"/>
        <v>FÍSICA DE MATERIALES</v>
      </c>
    </row>
    <row r="376" spans="2:10" x14ac:dyDescent="0.25">
      <c r="B376" s="54" t="s">
        <v>93</v>
      </c>
      <c r="C376" s="67">
        <v>96303</v>
      </c>
      <c r="D376" s="91" t="s">
        <v>255</v>
      </c>
      <c r="E376" s="92">
        <v>3</v>
      </c>
      <c r="H376" s="107">
        <f>+Tabla1[[#This Row],[CRÉDITOS]]-G376</f>
        <v>3</v>
      </c>
      <c r="I376" t="s">
        <v>993</v>
      </c>
      <c r="J376" t="str">
        <f t="shared" si="5"/>
        <v>LÓGICA DE PROGRAMACIÓN</v>
      </c>
    </row>
    <row r="377" spans="2:10" x14ac:dyDescent="0.25">
      <c r="B377" s="54" t="s">
        <v>93</v>
      </c>
      <c r="C377" s="93">
        <v>10102</v>
      </c>
      <c r="D377" s="94" t="s">
        <v>499</v>
      </c>
      <c r="E377" s="95">
        <v>2</v>
      </c>
      <c r="H377" s="107">
        <f>+Tabla1[[#This Row],[CRÉDITOS]]-G377</f>
        <v>2</v>
      </c>
      <c r="I377" t="s">
        <v>1187</v>
      </c>
      <c r="J377" t="str">
        <f t="shared" si="5"/>
        <v>TALLER ESTUDIO DE INVESTIGACIÓN</v>
      </c>
    </row>
    <row r="378" spans="2:10" x14ac:dyDescent="0.25">
      <c r="B378" s="54" t="s">
        <v>93</v>
      </c>
      <c r="C378" s="67">
        <v>10106</v>
      </c>
      <c r="D378" s="91" t="s">
        <v>239</v>
      </c>
      <c r="E378" s="92">
        <v>3</v>
      </c>
      <c r="H378" s="107">
        <f>+Tabla1[[#This Row],[CRÉDITOS]]-G378</f>
        <v>3</v>
      </c>
      <c r="I378" t="s">
        <v>983</v>
      </c>
      <c r="J378" t="str">
        <f t="shared" si="5"/>
        <v>ESTÁTICA</v>
      </c>
    </row>
    <row r="379" spans="2:10" x14ac:dyDescent="0.25">
      <c r="B379" s="54" t="s">
        <v>93</v>
      </c>
      <c r="C379" s="67">
        <v>95316</v>
      </c>
      <c r="D379" s="91" t="s">
        <v>609</v>
      </c>
      <c r="E379" s="92">
        <v>1</v>
      </c>
      <c r="H379" s="107">
        <f>+Tabla1[[#This Row],[CRÉDITOS]]-G379</f>
        <v>1</v>
      </c>
      <c r="I379" t="s">
        <v>1188</v>
      </c>
      <c r="J379" t="str">
        <f t="shared" si="5"/>
        <v>INGLÉS 3</v>
      </c>
    </row>
    <row r="380" spans="2:10" x14ac:dyDescent="0.25">
      <c r="B380" s="54" t="s">
        <v>93</v>
      </c>
      <c r="C380" s="67">
        <v>96114</v>
      </c>
      <c r="D380" s="69" t="s">
        <v>610</v>
      </c>
      <c r="E380" s="70">
        <v>3</v>
      </c>
      <c r="H380" s="107">
        <f>+Tabla1[[#This Row],[CRÉDITOS]]-G380</f>
        <v>3</v>
      </c>
      <c r="I380" t="s">
        <v>1189</v>
      </c>
      <c r="J380" t="str">
        <f t="shared" si="5"/>
        <v>FÍSICA ELÉCTRICA</v>
      </c>
    </row>
    <row r="381" spans="2:10" ht="28.5" x14ac:dyDescent="0.25">
      <c r="B381" s="54" t="s">
        <v>93</v>
      </c>
      <c r="C381" s="67">
        <v>96117</v>
      </c>
      <c r="D381" s="96" t="s">
        <v>611</v>
      </c>
      <c r="E381" s="70">
        <v>2</v>
      </c>
      <c r="H381" s="107">
        <f>+Tabla1[[#This Row],[CRÉDITOS]]-G381</f>
        <v>2</v>
      </c>
      <c r="I381" t="s">
        <v>1190</v>
      </c>
      <c r="J381" t="str">
        <f t="shared" si="5"/>
        <v xml:space="preserve">ECUACIONES DIFERENCIALES
</v>
      </c>
    </row>
    <row r="382" spans="2:10" x14ac:dyDescent="0.25">
      <c r="B382" s="54" t="s">
        <v>93</v>
      </c>
      <c r="C382" s="67">
        <v>10119</v>
      </c>
      <c r="D382" s="69" t="s">
        <v>262</v>
      </c>
      <c r="E382" s="70">
        <v>3</v>
      </c>
      <c r="H382" s="107">
        <f>+Tabla1[[#This Row],[CRÉDITOS]]-G382</f>
        <v>3</v>
      </c>
      <c r="I382" t="s">
        <v>999</v>
      </c>
      <c r="J382" t="str">
        <f t="shared" si="5"/>
        <v>PROBABILIDAD Y ESTADÍSTICA</v>
      </c>
    </row>
    <row r="383" spans="2:10" ht="28.5" x14ac:dyDescent="0.25">
      <c r="B383" s="54" t="s">
        <v>93</v>
      </c>
      <c r="C383" s="67">
        <v>10116</v>
      </c>
      <c r="D383" s="96" t="s">
        <v>613</v>
      </c>
      <c r="E383" s="70">
        <v>3</v>
      </c>
      <c r="H383" s="107">
        <f>+Tabla1[[#This Row],[CRÉDITOS]]-G383</f>
        <v>3</v>
      </c>
      <c r="I383" t="s">
        <v>1191</v>
      </c>
      <c r="J383" t="str">
        <f t="shared" si="5"/>
        <v xml:space="preserve">MECÁNICA DE MATERIALES
</v>
      </c>
    </row>
    <row r="384" spans="2:10" x14ac:dyDescent="0.25">
      <c r="B384" s="54" t="s">
        <v>93</v>
      </c>
      <c r="C384" s="67">
        <v>10121</v>
      </c>
      <c r="D384" s="69" t="s">
        <v>615</v>
      </c>
      <c r="E384" s="70">
        <v>3</v>
      </c>
      <c r="H384" s="107">
        <f>+Tabla1[[#This Row],[CRÉDITOS]]-G384</f>
        <v>3</v>
      </c>
      <c r="I384" t="s">
        <v>1192</v>
      </c>
      <c r="J384" t="str">
        <f t="shared" si="5"/>
        <v>GEOLOGÍA</v>
      </c>
    </row>
    <row r="385" spans="2:10" x14ac:dyDescent="0.25">
      <c r="B385" s="54" t="s">
        <v>93</v>
      </c>
      <c r="C385" s="67">
        <v>95405</v>
      </c>
      <c r="D385" s="96" t="s">
        <v>618</v>
      </c>
      <c r="E385" s="70">
        <v>1</v>
      </c>
      <c r="H385" s="107">
        <f>+Tabla1[[#This Row],[CRÉDITOS]]-G385</f>
        <v>1</v>
      </c>
      <c r="I385" t="s">
        <v>1193</v>
      </c>
      <c r="J385" t="str">
        <f t="shared" si="5"/>
        <v>INGLÉS 4</v>
      </c>
    </row>
    <row r="386" spans="2:10" ht="28.5" x14ac:dyDescent="0.25">
      <c r="B386" s="54" t="s">
        <v>93</v>
      </c>
      <c r="C386" s="67">
        <v>10115</v>
      </c>
      <c r="D386" s="96" t="s">
        <v>620</v>
      </c>
      <c r="E386" s="70">
        <v>3</v>
      </c>
      <c r="H386" s="107">
        <f>+Tabla1[[#This Row],[CRÉDITOS]]-G386</f>
        <v>3</v>
      </c>
      <c r="I386" t="s">
        <v>1194</v>
      </c>
      <c r="J386" t="str">
        <f t="shared" si="5"/>
        <v xml:space="preserve">OPERACIONAL Y NUMÉRICOS
</v>
      </c>
    </row>
    <row r="387" spans="2:10" ht="28.5" x14ac:dyDescent="0.25">
      <c r="B387" s="54" t="s">
        <v>93</v>
      </c>
      <c r="C387" s="67">
        <v>10118</v>
      </c>
      <c r="D387" s="96" t="s">
        <v>622</v>
      </c>
      <c r="E387" s="70">
        <v>3</v>
      </c>
      <c r="H387" s="107">
        <f>+Tabla1[[#This Row],[CRÉDITOS]]-G387</f>
        <v>3</v>
      </c>
      <c r="I387" t="s">
        <v>1195</v>
      </c>
      <c r="J387" t="str">
        <f t="shared" si="5"/>
        <v xml:space="preserve">MECÁNICA DE FLUIDOS
</v>
      </c>
    </row>
    <row r="388" spans="2:10" x14ac:dyDescent="0.25">
      <c r="B388" s="54" t="s">
        <v>93</v>
      </c>
      <c r="C388" s="67">
        <v>10137</v>
      </c>
      <c r="D388" s="69" t="s">
        <v>266</v>
      </c>
      <c r="E388" s="70">
        <v>4</v>
      </c>
      <c r="H388" s="107">
        <f>+Tabla1[[#This Row],[CRÉDITOS]]-G388</f>
        <v>4</v>
      </c>
      <c r="I388" t="s">
        <v>1003</v>
      </c>
      <c r="J388" t="str">
        <f t="shared" ref="J388:J451" si="6">+UPPER(I388)</f>
        <v>ANÁLISIS ESTRUCTURAL</v>
      </c>
    </row>
    <row r="389" spans="2:10" ht="42.75" x14ac:dyDescent="0.25">
      <c r="B389" s="54" t="s">
        <v>93</v>
      </c>
      <c r="C389" s="67">
        <v>10126</v>
      </c>
      <c r="D389" s="69" t="s">
        <v>625</v>
      </c>
      <c r="E389" s="70">
        <v>3</v>
      </c>
      <c r="H389" s="107">
        <f>+Tabla1[[#This Row],[CRÉDITOS]]-G389</f>
        <v>3</v>
      </c>
      <c r="I389" t="s">
        <v>1196</v>
      </c>
      <c r="J389" t="str">
        <f t="shared" si="6"/>
        <v xml:space="preserve">VÍAS
VÍAS
</v>
      </c>
    </row>
    <row r="390" spans="2:10" x14ac:dyDescent="0.25">
      <c r="B390" s="54" t="s">
        <v>93</v>
      </c>
      <c r="C390" s="67">
        <v>9511</v>
      </c>
      <c r="D390" s="69" t="s">
        <v>184</v>
      </c>
      <c r="E390" s="70">
        <v>2</v>
      </c>
      <c r="H390" s="107">
        <f>+Tabla1[[#This Row],[CRÉDITOS]]-G390</f>
        <v>2</v>
      </c>
      <c r="I390" t="s">
        <v>953</v>
      </c>
      <c r="J390" t="str">
        <f t="shared" si="6"/>
        <v>CULTURA TEOLÓGICA</v>
      </c>
    </row>
    <row r="391" spans="2:10" x14ac:dyDescent="0.25">
      <c r="B391" s="54" t="s">
        <v>93</v>
      </c>
      <c r="C391" s="67">
        <v>95219</v>
      </c>
      <c r="D391" s="69" t="s">
        <v>628</v>
      </c>
      <c r="E391" s="70">
        <v>1</v>
      </c>
      <c r="H391" s="107">
        <f>+Tabla1[[#This Row],[CRÉDITOS]]-G391</f>
        <v>1</v>
      </c>
      <c r="I391" t="s">
        <v>1197</v>
      </c>
      <c r="J391" t="str">
        <f t="shared" si="6"/>
        <v>INGLÉS 5</v>
      </c>
    </row>
    <row r="392" spans="2:10" ht="28.5" x14ac:dyDescent="0.25">
      <c r="B392" s="54" t="s">
        <v>93</v>
      </c>
      <c r="C392" s="67">
        <v>10125</v>
      </c>
      <c r="D392" s="96" t="s">
        <v>630</v>
      </c>
      <c r="E392" s="70">
        <v>4</v>
      </c>
      <c r="H392" s="107">
        <f>+Tabla1[[#This Row],[CRÉDITOS]]-G392</f>
        <v>4</v>
      </c>
      <c r="I392" t="s">
        <v>1198</v>
      </c>
      <c r="J392" t="str">
        <f t="shared" si="6"/>
        <v>CONCRETO REFORZADO
TUBERÍAS Y CANALES</v>
      </c>
    </row>
    <row r="393" spans="2:10" x14ac:dyDescent="0.25">
      <c r="B393" s="54" t="s">
        <v>93</v>
      </c>
      <c r="C393" s="67">
        <v>10123</v>
      </c>
      <c r="D393" s="77" t="s">
        <v>632</v>
      </c>
      <c r="E393" s="70">
        <v>3</v>
      </c>
      <c r="H393" s="107">
        <f>+Tabla1[[#This Row],[CRÉDITOS]]-G393</f>
        <v>3</v>
      </c>
      <c r="I393" t="s">
        <v>1199</v>
      </c>
      <c r="J393" t="str">
        <f t="shared" si="6"/>
        <v>TUBERÍAS Y CANALES</v>
      </c>
    </row>
    <row r="394" spans="2:10" x14ac:dyDescent="0.25">
      <c r="B394" s="54" t="s">
        <v>93</v>
      </c>
      <c r="C394" s="67">
        <v>10124</v>
      </c>
      <c r="D394" s="69" t="s">
        <v>634</v>
      </c>
      <c r="E394" s="70">
        <v>3</v>
      </c>
      <c r="H394" s="107">
        <f>+Tabla1[[#This Row],[CRÉDITOS]]-G394</f>
        <v>3</v>
      </c>
      <c r="I394" t="s">
        <v>1200</v>
      </c>
      <c r="J394" t="str">
        <f t="shared" si="6"/>
        <v>HIDROLOGÍA</v>
      </c>
    </row>
    <row r="395" spans="2:10" x14ac:dyDescent="0.25">
      <c r="B395" s="54" t="s">
        <v>93</v>
      </c>
      <c r="C395" s="67">
        <v>10127</v>
      </c>
      <c r="D395" s="69" t="s">
        <v>260</v>
      </c>
      <c r="E395" s="70">
        <v>3</v>
      </c>
      <c r="H395" s="107">
        <f>+Tabla1[[#This Row],[CRÉDITOS]]-G395</f>
        <v>3</v>
      </c>
      <c r="I395" t="s">
        <v>997</v>
      </c>
      <c r="J395" t="str">
        <f t="shared" si="6"/>
        <v>MECÁNICA DE SUELOS</v>
      </c>
    </row>
    <row r="396" spans="2:10" x14ac:dyDescent="0.25">
      <c r="B396" s="54" t="s">
        <v>93</v>
      </c>
      <c r="C396" s="67">
        <v>10117</v>
      </c>
      <c r="D396" s="69" t="s">
        <v>636</v>
      </c>
      <c r="E396" s="70">
        <v>3</v>
      </c>
      <c r="H396" s="107">
        <f>+Tabla1[[#This Row],[CRÉDITOS]]-G396</f>
        <v>3</v>
      </c>
      <c r="I396" t="s">
        <v>1201</v>
      </c>
      <c r="J396" t="str">
        <f t="shared" si="6"/>
        <v>GEOMÁTICA</v>
      </c>
    </row>
    <row r="397" spans="2:10" x14ac:dyDescent="0.25">
      <c r="B397" s="54" t="s">
        <v>93</v>
      </c>
      <c r="C397" s="67">
        <v>10136</v>
      </c>
      <c r="D397" s="69" t="s">
        <v>638</v>
      </c>
      <c r="E397" s="70">
        <v>2</v>
      </c>
      <c r="H397" s="107">
        <f>+Tabla1[[#This Row],[CRÉDITOS]]-G397</f>
        <v>2</v>
      </c>
      <c r="I397" t="s">
        <v>1202</v>
      </c>
      <c r="J397" t="str">
        <f t="shared" si="6"/>
        <v>LIDERAZGO Y COMUNICACIÓN</v>
      </c>
    </row>
    <row r="398" spans="2:10" ht="42.75" x14ac:dyDescent="0.25">
      <c r="B398" s="54" t="s">
        <v>93</v>
      </c>
      <c r="C398" s="67">
        <v>10133</v>
      </c>
      <c r="D398" s="69" t="s">
        <v>639</v>
      </c>
      <c r="E398" s="70">
        <v>3</v>
      </c>
      <c r="H398" s="107">
        <f>+Tabla1[[#This Row],[CRÉDITOS]]-G398</f>
        <v>3</v>
      </c>
      <c r="I398" t="s">
        <v>1203</v>
      </c>
      <c r="J398" t="str">
        <f t="shared" si="6"/>
        <v xml:space="preserve">CONCRETO PRESFORZADO
CONCRETO PRESFORZADO
</v>
      </c>
    </row>
    <row r="399" spans="2:10" ht="28.5" x14ac:dyDescent="0.25">
      <c r="B399" s="54" t="s">
        <v>93</v>
      </c>
      <c r="C399" s="67">
        <v>10132</v>
      </c>
      <c r="D399" s="96" t="s">
        <v>640</v>
      </c>
      <c r="E399" s="70">
        <v>4</v>
      </c>
      <c r="H399" s="107">
        <f>+Tabla1[[#This Row],[CRÉDITOS]]-G399</f>
        <v>4</v>
      </c>
      <c r="I399" t="s">
        <v>1204</v>
      </c>
      <c r="J399" t="str">
        <f t="shared" si="6"/>
        <v xml:space="preserve">ACUEDUCTOS Y ALCANTARILLADOS
</v>
      </c>
    </row>
    <row r="400" spans="2:10" ht="28.5" x14ac:dyDescent="0.25">
      <c r="B400" s="54" t="s">
        <v>93</v>
      </c>
      <c r="C400" s="67">
        <v>10134</v>
      </c>
      <c r="D400" s="96" t="s">
        <v>641</v>
      </c>
      <c r="E400" s="70">
        <v>3</v>
      </c>
      <c r="H400" s="107">
        <f>+Tabla1[[#This Row],[CRÉDITOS]]-G400</f>
        <v>3</v>
      </c>
      <c r="I400" t="s">
        <v>1205</v>
      </c>
      <c r="J400" t="str">
        <f t="shared" si="6"/>
        <v xml:space="preserve">FUNDACIONES
</v>
      </c>
    </row>
    <row r="401" spans="2:10" x14ac:dyDescent="0.25">
      <c r="B401" s="54" t="s">
        <v>93</v>
      </c>
      <c r="C401" s="86">
        <v>10135</v>
      </c>
      <c r="D401" s="74" t="s">
        <v>487</v>
      </c>
      <c r="E401" s="73">
        <v>3</v>
      </c>
      <c r="H401" s="107">
        <f>+Tabla1[[#This Row],[CRÉDITOS]]-G401</f>
        <v>3</v>
      </c>
      <c r="I401" t="s">
        <v>1206</v>
      </c>
      <c r="J401" t="str">
        <f t="shared" si="6"/>
        <v>MAQUINARIA Y EQUIPO</v>
      </c>
    </row>
    <row r="402" spans="2:10" x14ac:dyDescent="0.25">
      <c r="B402" s="54" t="s">
        <v>93</v>
      </c>
      <c r="C402" s="67">
        <v>10136</v>
      </c>
      <c r="D402" s="69" t="s">
        <v>645</v>
      </c>
      <c r="E402" s="70">
        <v>2</v>
      </c>
      <c r="H402" s="107">
        <f>+Tabla1[[#This Row],[CRÉDITOS]]-G402</f>
        <v>2</v>
      </c>
      <c r="I402" t="s">
        <v>1207</v>
      </c>
      <c r="J402" t="str">
        <f t="shared" si="6"/>
        <v>ECONOMÍA Y CONTABILIDAD</v>
      </c>
    </row>
    <row r="403" spans="2:10" ht="28.5" x14ac:dyDescent="0.25">
      <c r="B403" s="54" t="s">
        <v>93</v>
      </c>
      <c r="C403" s="67">
        <v>95112</v>
      </c>
      <c r="D403" s="96" t="s">
        <v>646</v>
      </c>
      <c r="E403" s="70">
        <v>2</v>
      </c>
      <c r="H403" s="107">
        <f>+Tabla1[[#This Row],[CRÉDITOS]]-G403</f>
        <v>2</v>
      </c>
      <c r="I403" t="s">
        <v>1208</v>
      </c>
      <c r="J403" t="str">
        <f t="shared" si="6"/>
        <v xml:space="preserve">FILOSOFÍA POLÍTICA
</v>
      </c>
    </row>
    <row r="404" spans="2:10" ht="28.5" x14ac:dyDescent="0.25">
      <c r="B404" s="54" t="s">
        <v>93</v>
      </c>
      <c r="C404" s="67">
        <v>10141</v>
      </c>
      <c r="D404" s="96" t="s">
        <v>648</v>
      </c>
      <c r="E404" s="70">
        <v>3</v>
      </c>
      <c r="H404" s="107">
        <f>+Tabla1[[#This Row],[CRÉDITOS]]-G404</f>
        <v>3</v>
      </c>
      <c r="I404" t="s">
        <v>1209</v>
      </c>
      <c r="J404" t="str">
        <f t="shared" si="6"/>
        <v xml:space="preserve">TRATAMIENTO DE AGUAS
</v>
      </c>
    </row>
    <row r="405" spans="2:10" ht="28.5" x14ac:dyDescent="0.25">
      <c r="B405" s="54" t="s">
        <v>93</v>
      </c>
      <c r="C405" s="67">
        <v>10142</v>
      </c>
      <c r="D405" s="96" t="s">
        <v>651</v>
      </c>
      <c r="E405" s="70">
        <v>3</v>
      </c>
      <c r="H405" s="107">
        <f>+Tabla1[[#This Row],[CRÉDITOS]]-G405</f>
        <v>3</v>
      </c>
      <c r="I405" t="s">
        <v>1210</v>
      </c>
      <c r="J405" t="str">
        <f t="shared" si="6"/>
        <v xml:space="preserve">GESTIÓN AMBIENTAL
</v>
      </c>
    </row>
    <row r="406" spans="2:10" ht="28.5" x14ac:dyDescent="0.25">
      <c r="B406" s="54" t="s">
        <v>93</v>
      </c>
      <c r="C406" s="67">
        <v>10143</v>
      </c>
      <c r="D406" s="96" t="s">
        <v>653</v>
      </c>
      <c r="E406" s="70">
        <v>3</v>
      </c>
      <c r="H406" s="107">
        <f>+Tabla1[[#This Row],[CRÉDITOS]]-G406</f>
        <v>3</v>
      </c>
      <c r="I406" t="s">
        <v>1211</v>
      </c>
      <c r="J406" t="str">
        <f t="shared" si="6"/>
        <v xml:space="preserve">PAVIMENTOS
</v>
      </c>
    </row>
    <row r="407" spans="2:10" ht="28.5" x14ac:dyDescent="0.25">
      <c r="B407" s="54" t="s">
        <v>93</v>
      </c>
      <c r="C407" s="86">
        <v>10144</v>
      </c>
      <c r="D407" s="97" t="s">
        <v>1212</v>
      </c>
      <c r="E407" s="73">
        <v>3</v>
      </c>
      <c r="H407" s="107">
        <f>+Tabla1[[#This Row],[CRÉDITOS]]-G407</f>
        <v>3</v>
      </c>
      <c r="I407" t="s">
        <v>1213</v>
      </c>
      <c r="J407" t="str">
        <f t="shared" si="6"/>
        <v xml:space="preserve">CONSTRUCCIÓN Y COSTOS
</v>
      </c>
    </row>
    <row r="408" spans="2:10" ht="28.5" x14ac:dyDescent="0.25">
      <c r="B408" s="54" t="s">
        <v>93</v>
      </c>
      <c r="C408" s="67">
        <v>10145</v>
      </c>
      <c r="D408" s="69" t="s">
        <v>1214</v>
      </c>
      <c r="E408" s="70">
        <v>2</v>
      </c>
      <c r="H408" s="107">
        <f>+Tabla1[[#This Row],[CRÉDITOS]]-G408</f>
        <v>2</v>
      </c>
      <c r="I408" t="s">
        <v>1215</v>
      </c>
      <c r="J408" t="str">
        <f t="shared" si="6"/>
        <v xml:space="preserve">FORMULACIÓN Y EVALUACIÓN DE PROYECTOS
</v>
      </c>
    </row>
    <row r="409" spans="2:10" x14ac:dyDescent="0.25">
      <c r="B409" s="54" t="s">
        <v>93</v>
      </c>
      <c r="C409" s="67">
        <v>10197</v>
      </c>
      <c r="D409" s="69" t="s">
        <v>655</v>
      </c>
      <c r="E409" s="70">
        <v>4</v>
      </c>
      <c r="H409" s="107">
        <f>+Tabla1[[#This Row],[CRÉDITOS]]-G409</f>
        <v>4</v>
      </c>
      <c r="I409" t="s">
        <v>1216</v>
      </c>
      <c r="J409" t="str">
        <f t="shared" si="6"/>
        <v>SEMINARIO Y OPCIÓN DE GRADO 1</v>
      </c>
    </row>
    <row r="410" spans="2:10" ht="28.5" x14ac:dyDescent="0.25">
      <c r="B410" s="54" t="s">
        <v>93</v>
      </c>
      <c r="C410" s="86">
        <v>10148</v>
      </c>
      <c r="D410" s="97" t="s">
        <v>1217</v>
      </c>
      <c r="E410" s="73">
        <v>3</v>
      </c>
      <c r="H410" s="107">
        <f>+Tabla1[[#This Row],[CRÉDITOS]]-G410</f>
        <v>3</v>
      </c>
      <c r="I410" t="s">
        <v>1218</v>
      </c>
      <c r="J410" t="str">
        <f t="shared" si="6"/>
        <v xml:space="preserve">COMPONENTE DE ÉNFASIS 1
</v>
      </c>
    </row>
    <row r="411" spans="2:10" ht="28.5" x14ac:dyDescent="0.25">
      <c r="B411" s="54" t="s">
        <v>93</v>
      </c>
      <c r="C411" s="67">
        <v>10149</v>
      </c>
      <c r="D411" s="96" t="s">
        <v>1219</v>
      </c>
      <c r="E411" s="70">
        <v>3</v>
      </c>
      <c r="H411" s="107">
        <f>+Tabla1[[#This Row],[CRÉDITOS]]-G411</f>
        <v>3</v>
      </c>
      <c r="I411" t="s">
        <v>1220</v>
      </c>
      <c r="J411" t="str">
        <f t="shared" si="6"/>
        <v xml:space="preserve">COMPONENTE DE ÉNFASIS 2
</v>
      </c>
    </row>
    <row r="412" spans="2:10" x14ac:dyDescent="0.25">
      <c r="B412" s="54" t="s">
        <v>93</v>
      </c>
      <c r="C412" s="67">
        <v>10150</v>
      </c>
      <c r="D412" s="96" t="s">
        <v>657</v>
      </c>
      <c r="E412" s="70">
        <v>3</v>
      </c>
      <c r="H412" s="107">
        <f>+Tabla1[[#This Row],[CRÉDITOS]]-G412</f>
        <v>3</v>
      </c>
      <c r="I412" t="s">
        <v>1221</v>
      </c>
      <c r="J412" t="str">
        <f t="shared" si="6"/>
        <v>COMPONENTE DE ÉNFASIS 3</v>
      </c>
    </row>
    <row r="413" spans="2:10" ht="28.5" x14ac:dyDescent="0.25">
      <c r="B413" s="54" t="s">
        <v>93</v>
      </c>
      <c r="C413" s="67">
        <v>10198</v>
      </c>
      <c r="D413" s="96" t="s">
        <v>1222</v>
      </c>
      <c r="E413" s="70">
        <v>3</v>
      </c>
      <c r="H413" s="107">
        <f>+Tabla1[[#This Row],[CRÉDITOS]]-G413</f>
        <v>3</v>
      </c>
      <c r="I413" t="s">
        <v>1223</v>
      </c>
      <c r="J413" t="str">
        <f t="shared" si="6"/>
        <v xml:space="preserve">SEMINARIO Y OPCIÓN DE GRADO 2
</v>
      </c>
    </row>
    <row r="414" spans="2:10" ht="28.5" x14ac:dyDescent="0.25">
      <c r="B414" s="54" t="s">
        <v>93</v>
      </c>
      <c r="C414" s="67">
        <v>95110</v>
      </c>
      <c r="D414" s="96" t="s">
        <v>1224</v>
      </c>
      <c r="E414" s="70">
        <v>2</v>
      </c>
      <c r="H414" s="107">
        <f>+Tabla1[[#This Row],[CRÉDITOS]]-G414</f>
        <v>2</v>
      </c>
      <c r="I414" t="s">
        <v>1225</v>
      </c>
      <c r="J414" t="str">
        <f t="shared" si="6"/>
        <v xml:space="preserve">EPISTEMOLOGÍA
</v>
      </c>
    </row>
    <row r="415" spans="2:10" ht="28.5" x14ac:dyDescent="0.25">
      <c r="B415" s="54" t="s">
        <v>93</v>
      </c>
      <c r="C415" s="86">
        <v>10146</v>
      </c>
      <c r="D415" s="97" t="s">
        <v>1226</v>
      </c>
      <c r="E415" s="73">
        <v>2</v>
      </c>
      <c r="H415" s="107">
        <f>+Tabla1[[#This Row],[CRÉDITOS]]-G415</f>
        <v>2</v>
      </c>
      <c r="I415" t="s">
        <v>1227</v>
      </c>
      <c r="J415" t="str">
        <f t="shared" si="6"/>
        <v xml:space="preserve">ELECTIVA DE UNIVERSIDAD 1
</v>
      </c>
    </row>
    <row r="416" spans="2:10" ht="28.5" x14ac:dyDescent="0.25">
      <c r="B416" s="54" t="s">
        <v>93</v>
      </c>
      <c r="C416" s="67">
        <v>10152</v>
      </c>
      <c r="D416" s="96" t="s">
        <v>1228</v>
      </c>
      <c r="E416" s="70">
        <v>3</v>
      </c>
      <c r="H416" s="107">
        <f>+Tabla1[[#This Row],[CRÉDITOS]]-G416</f>
        <v>3</v>
      </c>
      <c r="I416" t="s">
        <v>1229</v>
      </c>
      <c r="J416" t="str">
        <f t="shared" si="6"/>
        <v xml:space="preserve">COMPONENTE DE ÉNFASIS 4
</v>
      </c>
    </row>
    <row r="417" spans="2:10" x14ac:dyDescent="0.25">
      <c r="B417" s="54" t="s">
        <v>93</v>
      </c>
      <c r="C417" s="67">
        <v>95113</v>
      </c>
      <c r="D417" s="96" t="s">
        <v>214</v>
      </c>
      <c r="E417" s="70">
        <v>2</v>
      </c>
      <c r="H417" s="107">
        <f>+Tabla1[[#This Row],[CRÉDITOS]]-G417</f>
        <v>2</v>
      </c>
      <c r="I417" t="s">
        <v>969</v>
      </c>
      <c r="J417" t="str">
        <f t="shared" si="6"/>
        <v>ÉTICA</v>
      </c>
    </row>
    <row r="418" spans="2:10" ht="28.5" x14ac:dyDescent="0.25">
      <c r="B418" s="54" t="s">
        <v>93</v>
      </c>
      <c r="C418" s="67">
        <v>95137</v>
      </c>
      <c r="D418" s="96" t="s">
        <v>1230</v>
      </c>
      <c r="E418" s="70">
        <v>3</v>
      </c>
      <c r="H418" s="107">
        <f>+Tabla1[[#This Row],[CRÉDITOS]]-G418</f>
        <v>3</v>
      </c>
      <c r="I418" t="s">
        <v>1231</v>
      </c>
      <c r="J418" t="str">
        <f t="shared" si="6"/>
        <v xml:space="preserve">CÁTEDRAS OPCIONALES
</v>
      </c>
    </row>
    <row r="419" spans="2:10" ht="28.5" x14ac:dyDescent="0.25">
      <c r="B419" s="54" t="s">
        <v>93</v>
      </c>
      <c r="C419" s="67">
        <v>10153</v>
      </c>
      <c r="D419" s="96" t="s">
        <v>1232</v>
      </c>
      <c r="E419" s="70">
        <v>3</v>
      </c>
      <c r="H419" s="107">
        <f>+Tabla1[[#This Row],[CRÉDITOS]]-G419</f>
        <v>3</v>
      </c>
      <c r="I419" t="s">
        <v>1233</v>
      </c>
      <c r="J419" t="str">
        <f t="shared" si="6"/>
        <v xml:space="preserve">COMPONENTE DE ÉNFASIS 5 
</v>
      </c>
    </row>
    <row r="420" spans="2:10" x14ac:dyDescent="0.25">
      <c r="B420" s="54" t="s">
        <v>112</v>
      </c>
      <c r="C420" s="67">
        <v>15135</v>
      </c>
      <c r="D420" s="69" t="s">
        <v>56</v>
      </c>
      <c r="E420" s="70">
        <v>3</v>
      </c>
      <c r="H420" s="107">
        <f>+Tabla1[[#This Row],[CRÉDITOS]]-G420</f>
        <v>3</v>
      </c>
      <c r="I420" t="s">
        <v>919</v>
      </c>
      <c r="J420" t="str">
        <f t="shared" si="6"/>
        <v>COMUNICACIÓN ORAL Y ESCRITA</v>
      </c>
    </row>
    <row r="421" spans="2:10" ht="28.5" x14ac:dyDescent="0.25">
      <c r="B421" s="54" t="s">
        <v>112</v>
      </c>
      <c r="C421" s="55">
        <v>17847</v>
      </c>
      <c r="D421" s="56" t="s">
        <v>669</v>
      </c>
      <c r="E421" s="57">
        <v>3</v>
      </c>
      <c r="H421" s="107">
        <f>+Tabla1[[#This Row],[CRÉDITOS]]-G421</f>
        <v>3</v>
      </c>
      <c r="I421" t="s">
        <v>1234</v>
      </c>
      <c r="J421" t="str">
        <f t="shared" si="6"/>
        <v>MODELOS PEDAGÓGICOS (PRÁCTICA DE OBSERVACIÓN I)</v>
      </c>
    </row>
    <row r="422" spans="2:10" x14ac:dyDescent="0.25">
      <c r="B422" s="54" t="s">
        <v>112</v>
      </c>
      <c r="C422" s="67"/>
      <c r="D422" s="69" t="s">
        <v>136</v>
      </c>
      <c r="E422" s="70">
        <v>4</v>
      </c>
      <c r="H422" s="107">
        <f>+Tabla1[[#This Row],[CRÉDITOS]]-G422</f>
        <v>4</v>
      </c>
      <c r="I422" t="s">
        <v>936</v>
      </c>
      <c r="J422" t="str">
        <f t="shared" si="6"/>
        <v>ANTROPOLOGÍA</v>
      </c>
    </row>
    <row r="423" spans="2:10" x14ac:dyDescent="0.25">
      <c r="B423" s="54" t="s">
        <v>112</v>
      </c>
      <c r="C423" s="55">
        <v>17901</v>
      </c>
      <c r="D423" s="56" t="s">
        <v>671</v>
      </c>
      <c r="E423" s="57">
        <v>3</v>
      </c>
      <c r="H423" s="107">
        <f>+Tabla1[[#This Row],[CRÉDITOS]]-G423</f>
        <v>3</v>
      </c>
      <c r="I423" t="s">
        <v>1235</v>
      </c>
      <c r="J423" t="str">
        <f t="shared" si="6"/>
        <v>HISTORIA Y CONCEPCIONES DE INFANCIA</v>
      </c>
    </row>
    <row r="424" spans="2:10" x14ac:dyDescent="0.25">
      <c r="B424" s="54" t="s">
        <v>112</v>
      </c>
      <c r="C424" s="98">
        <v>95109</v>
      </c>
      <c r="D424" s="83" t="s">
        <v>673</v>
      </c>
      <c r="E424" s="78">
        <v>2</v>
      </c>
      <c r="H424" s="107">
        <f>+Tabla1[[#This Row],[CRÉDITOS]]-G424</f>
        <v>2</v>
      </c>
      <c r="I424" t="s">
        <v>1236</v>
      </c>
      <c r="J424" t="str">
        <f t="shared" si="6"/>
        <v>SEMINARIO DE FILOSOFÍA INSTITUCIONAL</v>
      </c>
    </row>
    <row r="425" spans="2:10" ht="28.5" x14ac:dyDescent="0.25">
      <c r="B425" s="54" t="s">
        <v>112</v>
      </c>
      <c r="C425" s="98">
        <v>17882</v>
      </c>
      <c r="D425" s="83" t="s">
        <v>675</v>
      </c>
      <c r="E425" s="78">
        <v>3</v>
      </c>
      <c r="H425" s="107">
        <f>+Tabla1[[#This Row],[CRÉDITOS]]-G425</f>
        <v>3</v>
      </c>
      <c r="I425" t="s">
        <v>1237</v>
      </c>
      <c r="J425" t="str">
        <f t="shared" si="6"/>
        <v>AMBIENTES VIRTUALES DE APRENDIZAJE (PRÁCTICA FORMATIVA I)</v>
      </c>
    </row>
    <row r="426" spans="2:10" ht="28.5" x14ac:dyDescent="0.25">
      <c r="B426" s="54" t="s">
        <v>112</v>
      </c>
      <c r="C426" s="67">
        <v>17848</v>
      </c>
      <c r="D426" s="69" t="s">
        <v>676</v>
      </c>
      <c r="E426" s="70">
        <v>3</v>
      </c>
      <c r="H426" s="107">
        <f>+Tabla1[[#This Row],[CRÉDITOS]]-G426</f>
        <v>3</v>
      </c>
      <c r="I426" t="s">
        <v>1238</v>
      </c>
      <c r="J426" t="str">
        <f t="shared" si="6"/>
        <v>PROCESOS DEL APRENDIZAJE (PRÁCTICA DE OBSERVACIÓN II)</v>
      </c>
    </row>
    <row r="427" spans="2:10" x14ac:dyDescent="0.25">
      <c r="B427" s="54" t="s">
        <v>112</v>
      </c>
      <c r="C427" s="67">
        <v>17896</v>
      </c>
      <c r="D427" s="69" t="s">
        <v>677</v>
      </c>
      <c r="E427" s="70">
        <v>3</v>
      </c>
      <c r="H427" s="107">
        <f>+Tabla1[[#This Row],[CRÉDITOS]]-G427</f>
        <v>3</v>
      </c>
      <c r="I427" t="s">
        <v>1239</v>
      </c>
      <c r="J427" t="str">
        <f t="shared" si="6"/>
        <v>EXPLORACIÓN DEL ENTORNO BIOLÓGICO</v>
      </c>
    </row>
    <row r="428" spans="2:10" x14ac:dyDescent="0.25">
      <c r="B428" s="54" t="s">
        <v>112</v>
      </c>
      <c r="C428" s="67">
        <v>17002</v>
      </c>
      <c r="D428" s="69" t="s">
        <v>66</v>
      </c>
      <c r="E428" s="70">
        <v>2</v>
      </c>
      <c r="H428" s="107">
        <f>+Tabla1[[#This Row],[CRÉDITOS]]-G428</f>
        <v>2</v>
      </c>
      <c r="I428" t="s">
        <v>922</v>
      </c>
      <c r="J428" t="str">
        <f t="shared" si="6"/>
        <v>INGLÉS I</v>
      </c>
    </row>
    <row r="429" spans="2:10" ht="28.5" x14ac:dyDescent="0.25">
      <c r="B429" s="54" t="s">
        <v>112</v>
      </c>
      <c r="C429" s="67">
        <v>17883</v>
      </c>
      <c r="D429" s="69" t="s">
        <v>680</v>
      </c>
      <c r="E429" s="70">
        <v>3</v>
      </c>
      <c r="H429" s="107">
        <f>+Tabla1[[#This Row],[CRÉDITOS]]-G429</f>
        <v>3</v>
      </c>
      <c r="I429" t="s">
        <v>1240</v>
      </c>
      <c r="J429" t="str">
        <f t="shared" si="6"/>
        <v>AMBIENTES VIRTUALES DE APRENDIZAJE (PRÁCTICA FORMATIVA II)</v>
      </c>
    </row>
    <row r="430" spans="2:10" x14ac:dyDescent="0.25">
      <c r="B430" s="54" t="s">
        <v>112</v>
      </c>
      <c r="C430" s="67">
        <v>95110</v>
      </c>
      <c r="D430" s="69" t="s">
        <v>160</v>
      </c>
      <c r="E430" s="70">
        <v>2</v>
      </c>
      <c r="H430" s="107">
        <f>+Tabla1[[#This Row],[CRÉDITOS]]-G430</f>
        <v>2</v>
      </c>
      <c r="I430" t="s">
        <v>945</v>
      </c>
      <c r="J430" t="str">
        <f t="shared" si="6"/>
        <v>EPISTEMOLOGÍA</v>
      </c>
    </row>
    <row r="431" spans="2:10" x14ac:dyDescent="0.25">
      <c r="B431" s="54" t="s">
        <v>112</v>
      </c>
      <c r="C431" s="67">
        <v>17822</v>
      </c>
      <c r="D431" s="69" t="s">
        <v>682</v>
      </c>
      <c r="E431" s="70">
        <v>2</v>
      </c>
      <c r="H431" s="107">
        <f>+Tabla1[[#This Row],[CRÉDITOS]]-G431</f>
        <v>2</v>
      </c>
      <c r="I431" t="s">
        <v>1241</v>
      </c>
      <c r="J431" t="str">
        <f t="shared" si="6"/>
        <v>PENSAMIENTO LÓGICO</v>
      </c>
    </row>
    <row r="432" spans="2:10" ht="28.5" x14ac:dyDescent="0.25">
      <c r="B432" s="54" t="s">
        <v>112</v>
      </c>
      <c r="C432" s="67">
        <v>17878</v>
      </c>
      <c r="D432" s="69" t="s">
        <v>684</v>
      </c>
      <c r="E432" s="70">
        <v>4</v>
      </c>
      <c r="H432" s="107">
        <f>+Tabla1[[#This Row],[CRÉDITOS]]-G432</f>
        <v>4</v>
      </c>
      <c r="I432" t="s">
        <v>1242</v>
      </c>
      <c r="J432" t="str">
        <f t="shared" si="6"/>
        <v>CURRÍCULO Y DIDÁCTICA (PRÁCTICA FORMATIVA III)</v>
      </c>
    </row>
    <row r="433" spans="2:10" x14ac:dyDescent="0.25">
      <c r="B433" s="54" t="s">
        <v>112</v>
      </c>
      <c r="C433" s="67">
        <v>17897</v>
      </c>
      <c r="D433" s="69" t="s">
        <v>686</v>
      </c>
      <c r="E433" s="70">
        <v>3</v>
      </c>
      <c r="H433" s="107">
        <f>+Tabla1[[#This Row],[CRÉDITOS]]-G433</f>
        <v>3</v>
      </c>
      <c r="I433" t="s">
        <v>1243</v>
      </c>
      <c r="J433" t="str">
        <f t="shared" si="6"/>
        <v>EXPLORACIÓN DEL ENTORNO COGNITIVO</v>
      </c>
    </row>
    <row r="434" spans="2:10" ht="28.5" x14ac:dyDescent="0.25">
      <c r="B434" s="54" t="s">
        <v>112</v>
      </c>
      <c r="C434" s="67">
        <v>17861</v>
      </c>
      <c r="D434" s="69" t="s">
        <v>688</v>
      </c>
      <c r="E434" s="70">
        <v>3</v>
      </c>
      <c r="H434" s="107">
        <f>+Tabla1[[#This Row],[CRÉDITOS]]-G434</f>
        <v>3</v>
      </c>
      <c r="I434" t="s">
        <v>1244</v>
      </c>
      <c r="J434" t="str">
        <f t="shared" si="6"/>
        <v>FUNDAMENTOS Y ENFOQUES DE LA INVESTIGACIÓN</v>
      </c>
    </row>
    <row r="435" spans="2:10" x14ac:dyDescent="0.25">
      <c r="B435" s="54" t="s">
        <v>112</v>
      </c>
      <c r="C435" s="67">
        <v>17007</v>
      </c>
      <c r="D435" s="69" t="s">
        <v>108</v>
      </c>
      <c r="E435" s="70">
        <v>2</v>
      </c>
      <c r="H435" s="107">
        <f>+Tabla1[[#This Row],[CRÉDITOS]]-G435</f>
        <v>2</v>
      </c>
      <c r="I435" t="s">
        <v>986</v>
      </c>
      <c r="J435" t="str">
        <f t="shared" si="6"/>
        <v>INGLÉS II</v>
      </c>
    </row>
    <row r="436" spans="2:10" x14ac:dyDescent="0.25">
      <c r="B436" s="54" t="s">
        <v>112</v>
      </c>
      <c r="C436" s="67">
        <v>95111</v>
      </c>
      <c r="D436" s="69" t="s">
        <v>184</v>
      </c>
      <c r="E436" s="70">
        <v>2</v>
      </c>
      <c r="H436" s="107">
        <f>+Tabla1[[#This Row],[CRÉDITOS]]-G436</f>
        <v>2</v>
      </c>
      <c r="I436" t="s">
        <v>953</v>
      </c>
      <c r="J436" t="str">
        <f t="shared" si="6"/>
        <v>CULTURA TEOLÓGICA</v>
      </c>
    </row>
    <row r="437" spans="2:10" x14ac:dyDescent="0.25">
      <c r="B437" s="54" t="s">
        <v>112</v>
      </c>
      <c r="C437" s="67"/>
      <c r="D437" s="69" t="s">
        <v>471</v>
      </c>
      <c r="E437" s="70">
        <v>3</v>
      </c>
      <c r="H437" s="107">
        <f>+Tabla1[[#This Row],[CRÉDITOS]]-G437</f>
        <v>3</v>
      </c>
      <c r="I437" t="s">
        <v>1115</v>
      </c>
      <c r="J437" t="str">
        <f t="shared" si="6"/>
        <v>ELECTIVA I</v>
      </c>
    </row>
    <row r="438" spans="2:10" ht="28.5" x14ac:dyDescent="0.25">
      <c r="B438" s="54" t="s">
        <v>112</v>
      </c>
      <c r="C438" s="67">
        <v>17879</v>
      </c>
      <c r="D438" s="69" t="s">
        <v>689</v>
      </c>
      <c r="E438" s="70">
        <v>4</v>
      </c>
      <c r="H438" s="107">
        <f>+Tabla1[[#This Row],[CRÉDITOS]]-G438</f>
        <v>4</v>
      </c>
      <c r="I438" t="s">
        <v>1245</v>
      </c>
      <c r="J438" t="str">
        <f t="shared" si="6"/>
        <v>EVALUACIÓN EN EL CONTEXTO ESCOLAR (PRÁCTICA FORMATIVA IV)</v>
      </c>
    </row>
    <row r="439" spans="2:10" ht="28.5" x14ac:dyDescent="0.25">
      <c r="B439" s="54" t="s">
        <v>112</v>
      </c>
      <c r="C439" s="55">
        <v>17898</v>
      </c>
      <c r="D439" s="56" t="s">
        <v>690</v>
      </c>
      <c r="E439" s="57">
        <v>3</v>
      </c>
      <c r="H439" s="107">
        <f>+Tabla1[[#This Row],[CRÉDITOS]]-G439</f>
        <v>3</v>
      </c>
      <c r="I439" t="s">
        <v>1246</v>
      </c>
      <c r="J439" t="str">
        <f t="shared" si="6"/>
        <v>EXPLORACIÓN DE LAS HABILIDADES BÁSICAS PARA EL APRENDIZAJE</v>
      </c>
    </row>
    <row r="440" spans="2:10" x14ac:dyDescent="0.25">
      <c r="B440" s="54" t="s">
        <v>112</v>
      </c>
      <c r="C440" s="67">
        <v>17862</v>
      </c>
      <c r="D440" s="69" t="s">
        <v>691</v>
      </c>
      <c r="E440" s="70">
        <v>3</v>
      </c>
      <c r="H440" s="107">
        <f>+Tabla1[[#This Row],[CRÉDITOS]]-G440</f>
        <v>3</v>
      </c>
      <c r="I440" t="s">
        <v>1247</v>
      </c>
      <c r="J440" t="str">
        <f t="shared" si="6"/>
        <v>INVESTIGACIÓN EN EDUCACIÓN Y PEDAGOGÍA</v>
      </c>
    </row>
    <row r="441" spans="2:10" x14ac:dyDescent="0.25">
      <c r="B441" s="54" t="s">
        <v>112</v>
      </c>
      <c r="C441" s="67">
        <v>17009</v>
      </c>
      <c r="D441" s="69" t="s">
        <v>139</v>
      </c>
      <c r="E441" s="70">
        <v>2</v>
      </c>
      <c r="H441" s="107">
        <f>+Tabla1[[#This Row],[CRÉDITOS]]-G441</f>
        <v>2</v>
      </c>
      <c r="I441" t="s">
        <v>937</v>
      </c>
      <c r="J441" t="str">
        <f t="shared" si="6"/>
        <v>INGLÉS III</v>
      </c>
    </row>
    <row r="442" spans="2:10" x14ac:dyDescent="0.25">
      <c r="B442" s="54" t="s">
        <v>112</v>
      </c>
      <c r="C442" s="67">
        <v>17868</v>
      </c>
      <c r="D442" s="69" t="s">
        <v>693</v>
      </c>
      <c r="E442" s="70">
        <v>2</v>
      </c>
      <c r="H442" s="107">
        <f>+Tabla1[[#This Row],[CRÉDITOS]]-G442</f>
        <v>2</v>
      </c>
      <c r="I442" t="s">
        <v>1248</v>
      </c>
      <c r="J442" t="str">
        <f t="shared" si="6"/>
        <v>FILOSOFÍA POLÍTICA (CULTURA DE PAZ)</v>
      </c>
    </row>
    <row r="443" spans="2:10" x14ac:dyDescent="0.25">
      <c r="B443" s="54" t="s">
        <v>112</v>
      </c>
      <c r="C443" s="67"/>
      <c r="D443" s="69" t="s">
        <v>479</v>
      </c>
      <c r="E443" s="70">
        <v>3</v>
      </c>
      <c r="H443" s="107">
        <f>+Tabla1[[#This Row],[CRÉDITOS]]-G443</f>
        <v>3</v>
      </c>
      <c r="I443" t="s">
        <v>1121</v>
      </c>
      <c r="J443" t="str">
        <f t="shared" si="6"/>
        <v>ELECTIVA II</v>
      </c>
    </row>
    <row r="444" spans="2:10" ht="28.5" x14ac:dyDescent="0.25">
      <c r="B444" s="54" t="s">
        <v>112</v>
      </c>
      <c r="C444" s="67">
        <v>17880</v>
      </c>
      <c r="D444" s="69" t="s">
        <v>696</v>
      </c>
      <c r="E444" s="70">
        <v>4</v>
      </c>
      <c r="H444" s="107">
        <f>+Tabla1[[#This Row],[CRÉDITOS]]-G444</f>
        <v>4</v>
      </c>
      <c r="I444" t="s">
        <v>1249</v>
      </c>
      <c r="J444" t="str">
        <f t="shared" si="6"/>
        <v>POLÍTICA EDUCATIVA, GESTIÓN Y ADMINISTRACIÓN (PRÁCTICA FORMATIVA V)</v>
      </c>
    </row>
    <row r="445" spans="2:10" x14ac:dyDescent="0.25">
      <c r="B445" s="54" t="s">
        <v>112</v>
      </c>
      <c r="C445" s="67">
        <v>17893</v>
      </c>
      <c r="D445" s="69" t="s">
        <v>697</v>
      </c>
      <c r="E445" s="70">
        <v>2</v>
      </c>
      <c r="H445" s="107">
        <f>+Tabla1[[#This Row],[CRÉDITOS]]-G445</f>
        <v>2</v>
      </c>
      <c r="I445" t="s">
        <v>1250</v>
      </c>
      <c r="J445" t="str">
        <f t="shared" si="6"/>
        <v>LÚDICA Y VIVENCIA CORPORAL</v>
      </c>
    </row>
    <row r="446" spans="2:10" x14ac:dyDescent="0.25">
      <c r="B446" s="54" t="s">
        <v>112</v>
      </c>
      <c r="C446" s="67">
        <v>17902</v>
      </c>
      <c r="D446" s="69" t="s">
        <v>699</v>
      </c>
      <c r="E446" s="70">
        <v>3</v>
      </c>
      <c r="H446" s="107">
        <f>+Tabla1[[#This Row],[CRÉDITOS]]-G446</f>
        <v>3</v>
      </c>
      <c r="I446" t="s">
        <v>1251</v>
      </c>
      <c r="J446" t="str">
        <f t="shared" si="6"/>
        <v>REALIDADES Y CONTEXTOS DE LA INFANCIA</v>
      </c>
    </row>
    <row r="447" spans="2:10" x14ac:dyDescent="0.25">
      <c r="B447" s="54" t="s">
        <v>112</v>
      </c>
      <c r="C447" s="67">
        <v>17604</v>
      </c>
      <c r="D447" s="69" t="s">
        <v>163</v>
      </c>
      <c r="E447" s="70">
        <v>2</v>
      </c>
      <c r="H447" s="107">
        <f>+Tabla1[[#This Row],[CRÉDITOS]]-G447</f>
        <v>2</v>
      </c>
      <c r="I447" t="s">
        <v>946</v>
      </c>
      <c r="J447" t="str">
        <f t="shared" si="6"/>
        <v>INGLÉS IV</v>
      </c>
    </row>
    <row r="448" spans="2:10" x14ac:dyDescent="0.25">
      <c r="B448" s="54" t="s">
        <v>112</v>
      </c>
      <c r="C448" s="55">
        <v>95113</v>
      </c>
      <c r="D448" s="56" t="s">
        <v>214</v>
      </c>
      <c r="E448" s="57">
        <v>2</v>
      </c>
      <c r="H448" s="107">
        <f>+Tabla1[[#This Row],[CRÉDITOS]]-G448</f>
        <v>2</v>
      </c>
      <c r="I448" t="s">
        <v>969</v>
      </c>
      <c r="J448" t="str">
        <f t="shared" si="6"/>
        <v>ÉTICA</v>
      </c>
    </row>
    <row r="449" spans="2:10" x14ac:dyDescent="0.25">
      <c r="B449" s="54" t="s">
        <v>112</v>
      </c>
      <c r="C449" s="67">
        <v>17008</v>
      </c>
      <c r="D449" s="69" t="s">
        <v>702</v>
      </c>
      <c r="E449" s="70">
        <v>2</v>
      </c>
      <c r="H449" s="107">
        <f>+Tabla1[[#This Row],[CRÉDITOS]]-G449</f>
        <v>2</v>
      </c>
      <c r="I449" t="s">
        <v>1252</v>
      </c>
      <c r="J449" t="str">
        <f t="shared" si="6"/>
        <v>SEMINARIO INVESTIGATIVO</v>
      </c>
    </row>
    <row r="450" spans="2:10" ht="28.5" x14ac:dyDescent="0.25">
      <c r="B450" s="54" t="s">
        <v>112</v>
      </c>
      <c r="C450" s="67">
        <v>17888</v>
      </c>
      <c r="D450" s="69" t="s">
        <v>704</v>
      </c>
      <c r="E450" s="70">
        <v>4</v>
      </c>
      <c r="H450" s="107">
        <f>+Tabla1[[#This Row],[CRÉDITOS]]-G450</f>
        <v>4</v>
      </c>
      <c r="I450" t="s">
        <v>1253</v>
      </c>
      <c r="J450" t="str">
        <f t="shared" si="6"/>
        <v>CURRÍCULO Y APRENDIZAJE EN LA EDUCACIÓN INFANTIL (PRÁCTICA FORMATIVA VI)</v>
      </c>
    </row>
    <row r="451" spans="2:10" x14ac:dyDescent="0.25">
      <c r="B451" s="54" t="s">
        <v>112</v>
      </c>
      <c r="C451" s="55">
        <v>17906</v>
      </c>
      <c r="D451" s="56" t="s">
        <v>705</v>
      </c>
      <c r="E451" s="57">
        <v>3</v>
      </c>
      <c r="H451" s="107">
        <f>+Tabla1[[#This Row],[CRÉDITOS]]-G451</f>
        <v>3</v>
      </c>
      <c r="I451" t="s">
        <v>1254</v>
      </c>
      <c r="J451" t="str">
        <f t="shared" si="6"/>
        <v>HABILIDADES COMUNICATIVAS EN LA INFANCIA I</v>
      </c>
    </row>
    <row r="452" spans="2:10" x14ac:dyDescent="0.25">
      <c r="B452" s="54" t="s">
        <v>112</v>
      </c>
      <c r="C452" s="67">
        <v>17797</v>
      </c>
      <c r="D452" s="69" t="s">
        <v>201</v>
      </c>
      <c r="E452" s="70">
        <v>2</v>
      </c>
      <c r="H452" s="107">
        <f>+Tabla1[[#This Row],[CRÉDITOS]]-G452</f>
        <v>2</v>
      </c>
      <c r="I452" t="s">
        <v>960</v>
      </c>
      <c r="J452" t="str">
        <f t="shared" ref="J452:J515" si="7">+UPPER(I452)</f>
        <v>INGLÉS V</v>
      </c>
    </row>
    <row r="453" spans="2:10" x14ac:dyDescent="0.25">
      <c r="B453" s="54" t="s">
        <v>112</v>
      </c>
      <c r="C453" s="67">
        <v>17066</v>
      </c>
      <c r="D453" s="69" t="s">
        <v>707</v>
      </c>
      <c r="E453" s="70">
        <v>3</v>
      </c>
      <c r="H453" s="107">
        <f>+Tabla1[[#This Row],[CRÉDITOS]]-G453</f>
        <v>3</v>
      </c>
      <c r="I453" t="s">
        <v>1255</v>
      </c>
      <c r="J453" t="str">
        <f t="shared" si="7"/>
        <v>CÁTEDRA OPCIONAL</v>
      </c>
    </row>
    <row r="454" spans="2:10" x14ac:dyDescent="0.25">
      <c r="B454" s="54" t="s">
        <v>112</v>
      </c>
      <c r="C454" s="67"/>
      <c r="D454" s="69" t="s">
        <v>302</v>
      </c>
      <c r="E454" s="70">
        <v>3</v>
      </c>
      <c r="H454" s="107">
        <f>+Tabla1[[#This Row],[CRÉDITOS]]-G454</f>
        <v>3</v>
      </c>
      <c r="I454" t="s">
        <v>1017</v>
      </c>
      <c r="J454" t="str">
        <f t="shared" si="7"/>
        <v>PROFUNDIZACIÓN I</v>
      </c>
    </row>
    <row r="455" spans="2:10" ht="42.75" x14ac:dyDescent="0.25">
      <c r="B455" s="54" t="s">
        <v>112</v>
      </c>
      <c r="C455" s="67">
        <v>17889</v>
      </c>
      <c r="D455" s="69" t="s">
        <v>710</v>
      </c>
      <c r="E455" s="70">
        <v>4</v>
      </c>
      <c r="H455" s="107">
        <f>+Tabla1[[#This Row],[CRÉDITOS]]-G455</f>
        <v>4</v>
      </c>
      <c r="I455" t="s">
        <v>1256</v>
      </c>
      <c r="J455" t="str">
        <f t="shared" si="7"/>
        <v>DIDÁCTICA ESPECÍFICA (PRÁCTICA - PROYECTO DE AULA, TRABAJO PEDAGÓGICO DE 0 A 3 AÑOS)</v>
      </c>
    </row>
    <row r="456" spans="2:10" x14ac:dyDescent="0.25">
      <c r="B456" s="54" t="s">
        <v>112</v>
      </c>
      <c r="C456" s="67">
        <v>17894</v>
      </c>
      <c r="D456" s="69" t="s">
        <v>712</v>
      </c>
      <c r="E456" s="70">
        <v>2</v>
      </c>
      <c r="H456" s="107">
        <f>+Tabla1[[#This Row],[CRÉDITOS]]-G456</f>
        <v>2</v>
      </c>
      <c r="I456" t="s">
        <v>1257</v>
      </c>
      <c r="J456" t="str">
        <f t="shared" si="7"/>
        <v>LÚDICA Y VIVENCIA MUSICAL</v>
      </c>
    </row>
    <row r="457" spans="2:10" ht="28.5" x14ac:dyDescent="0.25">
      <c r="B457" s="54" t="s">
        <v>112</v>
      </c>
      <c r="C457" s="67">
        <v>17904</v>
      </c>
      <c r="D457" s="69" t="s">
        <v>713</v>
      </c>
      <c r="E457" s="70">
        <v>3</v>
      </c>
      <c r="H457" s="107">
        <f>+Tabla1[[#This Row],[CRÉDITOS]]-G457</f>
        <v>3</v>
      </c>
      <c r="I457" t="s">
        <v>1258</v>
      </c>
      <c r="J457" t="str">
        <f t="shared" si="7"/>
        <v>FUNDAMENTACIÓN EN INVESTIGACIÓN I (ANTEPROYECTO)</v>
      </c>
    </row>
    <row r="458" spans="2:10" x14ac:dyDescent="0.25">
      <c r="B458" s="54" t="s">
        <v>112</v>
      </c>
      <c r="C458" s="67">
        <v>17907</v>
      </c>
      <c r="D458" s="69" t="s">
        <v>715</v>
      </c>
      <c r="E458" s="70">
        <v>3</v>
      </c>
      <c r="H458" s="107">
        <f>+Tabla1[[#This Row],[CRÉDITOS]]-G458</f>
        <v>3</v>
      </c>
      <c r="I458" t="s">
        <v>1259</v>
      </c>
      <c r="J458" t="str">
        <f t="shared" si="7"/>
        <v>HABILIDADES COMUNICATIVAS EN LA INFANCIA II</v>
      </c>
    </row>
    <row r="459" spans="2:10" x14ac:dyDescent="0.25">
      <c r="B459" s="54" t="s">
        <v>112</v>
      </c>
      <c r="C459" s="67">
        <v>17801</v>
      </c>
      <c r="D459" s="69" t="s">
        <v>213</v>
      </c>
      <c r="E459" s="70">
        <v>2</v>
      </c>
      <c r="H459" s="107">
        <f>+Tabla1[[#This Row],[CRÉDITOS]]-G459</f>
        <v>2</v>
      </c>
      <c r="I459" t="s">
        <v>968</v>
      </c>
      <c r="J459" t="str">
        <f t="shared" si="7"/>
        <v>INGLÉS VI</v>
      </c>
    </row>
    <row r="460" spans="2:10" x14ac:dyDescent="0.25">
      <c r="B460" s="54" t="s">
        <v>112</v>
      </c>
      <c r="C460" s="67"/>
      <c r="D460" s="69" t="s">
        <v>304</v>
      </c>
      <c r="E460" s="70">
        <v>3</v>
      </c>
      <c r="H460" s="107">
        <f>+Tabla1[[#This Row],[CRÉDITOS]]-G460</f>
        <v>3</v>
      </c>
      <c r="I460" t="s">
        <v>1018</v>
      </c>
      <c r="J460" t="str">
        <f t="shared" si="7"/>
        <v>PROFUNDIZACIÓN II</v>
      </c>
    </row>
    <row r="461" spans="2:10" ht="28.5" x14ac:dyDescent="0.25">
      <c r="B461" s="54" t="s">
        <v>112</v>
      </c>
      <c r="C461" s="67">
        <v>17890</v>
      </c>
      <c r="D461" s="69" t="s">
        <v>717</v>
      </c>
      <c r="E461" s="70">
        <v>4</v>
      </c>
      <c r="H461" s="107">
        <f>+Tabla1[[#This Row],[CRÉDITOS]]-G461</f>
        <v>4</v>
      </c>
      <c r="I461" t="s">
        <v>1260</v>
      </c>
      <c r="J461" t="str">
        <f t="shared" si="7"/>
        <v>PRÁCTICA PEDAGÓGICA (MEDIOS Y MEDIACIONES EN LA EDUCACIÓN INFANTIL)</v>
      </c>
    </row>
    <row r="462" spans="2:10" x14ac:dyDescent="0.25">
      <c r="B462" s="54" t="s">
        <v>112</v>
      </c>
      <c r="C462" s="67">
        <v>17895</v>
      </c>
      <c r="D462" s="69" t="s">
        <v>718</v>
      </c>
      <c r="E462" s="70">
        <v>2</v>
      </c>
      <c r="H462" s="107">
        <f>+Tabla1[[#This Row],[CRÉDITOS]]-G462</f>
        <v>2</v>
      </c>
      <c r="I462" t="s">
        <v>1261</v>
      </c>
      <c r="J462" t="str">
        <f t="shared" si="7"/>
        <v>LÚDICA Y EXPRESIÓN CREATIVA</v>
      </c>
    </row>
    <row r="463" spans="2:10" ht="28.5" x14ac:dyDescent="0.25">
      <c r="B463" s="54" t="s">
        <v>112</v>
      </c>
      <c r="C463" s="67">
        <v>17899</v>
      </c>
      <c r="D463" s="69" t="s">
        <v>720</v>
      </c>
      <c r="E463" s="70">
        <v>3</v>
      </c>
      <c r="H463" s="107">
        <f>+Tabla1[[#This Row],[CRÉDITOS]]-G463</f>
        <v>3</v>
      </c>
      <c r="I463" t="s">
        <v>1262</v>
      </c>
      <c r="J463" t="str">
        <f t="shared" si="7"/>
        <v>EXPLORACIÓN DE LAS HABILIDADES MATEMÁTICAS</v>
      </c>
    </row>
    <row r="464" spans="2:10" ht="28.5" x14ac:dyDescent="0.25">
      <c r="B464" s="54" t="s">
        <v>112</v>
      </c>
      <c r="C464" s="67">
        <v>17908</v>
      </c>
      <c r="D464" s="69" t="s">
        <v>722</v>
      </c>
      <c r="E464" s="70">
        <v>2</v>
      </c>
      <c r="H464" s="107">
        <f>+Tabla1[[#This Row],[CRÉDITOS]]-G464</f>
        <v>2</v>
      </c>
      <c r="I464" t="s">
        <v>1263</v>
      </c>
      <c r="J464" t="str">
        <f t="shared" si="7"/>
        <v>LITERATURA Y TRADICIONAL ORAL EN LA INFANCIA</v>
      </c>
    </row>
    <row r="465" spans="2:10" x14ac:dyDescent="0.25">
      <c r="B465" s="54" t="s">
        <v>112</v>
      </c>
      <c r="C465" s="67"/>
      <c r="D465" s="69" t="s">
        <v>514</v>
      </c>
      <c r="E465" s="70">
        <v>3</v>
      </c>
      <c r="H465" s="107">
        <f>+Tabla1[[#This Row],[CRÉDITOS]]-G465</f>
        <v>3</v>
      </c>
      <c r="I465" t="s">
        <v>1137</v>
      </c>
      <c r="J465" t="str">
        <f t="shared" si="7"/>
        <v>ELECTIVA III</v>
      </c>
    </row>
    <row r="466" spans="2:10" x14ac:dyDescent="0.25">
      <c r="B466" s="54" t="s">
        <v>112</v>
      </c>
      <c r="C466" s="67"/>
      <c r="D466" s="69" t="s">
        <v>311</v>
      </c>
      <c r="E466" s="70">
        <v>3</v>
      </c>
      <c r="H466" s="107">
        <f>+Tabla1[[#This Row],[CRÉDITOS]]-G466</f>
        <v>3</v>
      </c>
      <c r="I466" t="s">
        <v>1021</v>
      </c>
      <c r="J466" t="str">
        <f t="shared" si="7"/>
        <v>PROFUNDIZACIÓN III</v>
      </c>
    </row>
    <row r="467" spans="2:10" ht="28.5" x14ac:dyDescent="0.25">
      <c r="B467" s="54" t="s">
        <v>112</v>
      </c>
      <c r="C467" s="67">
        <v>17891</v>
      </c>
      <c r="D467" s="69" t="s">
        <v>725</v>
      </c>
      <c r="E467" s="70">
        <v>4</v>
      </c>
      <c r="H467" s="107">
        <f>+Tabla1[[#This Row],[CRÉDITOS]]-G467</f>
        <v>4</v>
      </c>
      <c r="I467" t="s">
        <v>1264</v>
      </c>
      <c r="J467" t="str">
        <f t="shared" si="7"/>
        <v>PRÁCTICA PEDAGÓGICA DE AULA (TRABAJO PEDAGÓGICO DE 3 A 7 AÑOS)</v>
      </c>
    </row>
    <row r="468" spans="2:10" ht="28.5" x14ac:dyDescent="0.25">
      <c r="B468" s="54" t="s">
        <v>112</v>
      </c>
      <c r="C468" s="67">
        <v>17903</v>
      </c>
      <c r="D468" s="69" t="s">
        <v>726</v>
      </c>
      <c r="E468" s="70">
        <v>3</v>
      </c>
      <c r="H468" s="107">
        <f>+Tabla1[[#This Row],[CRÉDITOS]]-G468</f>
        <v>3</v>
      </c>
      <c r="I468" t="s">
        <v>1265</v>
      </c>
      <c r="J468" t="str">
        <f t="shared" si="7"/>
        <v>CENTROS INFANTILES Y CONTEXTOS ESCOLARES</v>
      </c>
    </row>
    <row r="469" spans="2:10" ht="28.5" x14ac:dyDescent="0.25">
      <c r="B469" s="54" t="s">
        <v>112</v>
      </c>
      <c r="C469" s="67">
        <v>17905</v>
      </c>
      <c r="D469" s="69" t="s">
        <v>727</v>
      </c>
      <c r="E469" s="70">
        <v>2</v>
      </c>
      <c r="H469" s="107">
        <f>+Tabla1[[#This Row],[CRÉDITOS]]-G469</f>
        <v>2</v>
      </c>
      <c r="I469" t="s">
        <v>1266</v>
      </c>
      <c r="J469" t="str">
        <f t="shared" si="7"/>
        <v>FUNDAMENTACIÓN EN INVESTIGACIÓN II (PROYECTO)</v>
      </c>
    </row>
    <row r="470" spans="2:10" x14ac:dyDescent="0.25">
      <c r="B470" s="54" t="s">
        <v>112</v>
      </c>
      <c r="C470" s="67"/>
      <c r="D470" s="69" t="s">
        <v>313</v>
      </c>
      <c r="E470" s="70">
        <v>3</v>
      </c>
      <c r="H470" s="107">
        <f>+Tabla1[[#This Row],[CRÉDITOS]]-G470</f>
        <v>3</v>
      </c>
      <c r="I470" t="s">
        <v>1022</v>
      </c>
      <c r="J470" t="str">
        <f t="shared" si="7"/>
        <v>PROFUNDIZACIÓN IV</v>
      </c>
    </row>
    <row r="471" spans="2:10" ht="28.5" x14ac:dyDescent="0.25">
      <c r="B471" s="54" t="s">
        <v>112</v>
      </c>
      <c r="C471" s="67">
        <v>17892</v>
      </c>
      <c r="D471" s="69" t="s">
        <v>730</v>
      </c>
      <c r="E471" s="70">
        <v>4</v>
      </c>
      <c r="H471" s="107">
        <f>+Tabla1[[#This Row],[CRÉDITOS]]-G471</f>
        <v>4</v>
      </c>
      <c r="I471" t="s">
        <v>1267</v>
      </c>
      <c r="J471" t="str">
        <f t="shared" si="7"/>
        <v>PRÁCTICA PEDAGÓGICA COMUNITARIA (INFANCIA, AMBIENTE Y COMUNIDAD)</v>
      </c>
    </row>
    <row r="472" spans="2:10" ht="28.5" x14ac:dyDescent="0.25">
      <c r="B472" s="54" t="s">
        <v>112</v>
      </c>
      <c r="C472" s="55">
        <v>17900</v>
      </c>
      <c r="D472" s="56" t="s">
        <v>731</v>
      </c>
      <c r="E472" s="57">
        <v>3</v>
      </c>
      <c r="H472" s="107">
        <f>+Tabla1[[#This Row],[CRÉDITOS]]-G472</f>
        <v>3</v>
      </c>
      <c r="I472" t="s">
        <v>1268</v>
      </c>
      <c r="J472" t="str">
        <f t="shared" si="7"/>
        <v>EXPLORACIÓN DEL ENTORNO AFECTIVO Y SOCIAL</v>
      </c>
    </row>
    <row r="473" spans="2:10" x14ac:dyDescent="0.25">
      <c r="B473" s="54" t="s">
        <v>112</v>
      </c>
      <c r="C473" s="67">
        <v>17010</v>
      </c>
      <c r="D473" s="69" t="s">
        <v>732</v>
      </c>
      <c r="E473" s="70">
        <v>2</v>
      </c>
      <c r="H473" s="107">
        <f>+Tabla1[[#This Row],[CRÉDITOS]]-G473</f>
        <v>2</v>
      </c>
      <c r="I473" t="s">
        <v>1269</v>
      </c>
      <c r="J473" t="str">
        <f t="shared" si="7"/>
        <v>SEMINARIO INTERDISCIPLINARIO</v>
      </c>
    </row>
    <row r="474" spans="2:10" x14ac:dyDescent="0.25">
      <c r="B474" s="54" t="s">
        <v>112</v>
      </c>
      <c r="C474" s="67"/>
      <c r="D474" s="69" t="s">
        <v>524</v>
      </c>
      <c r="E474" s="70">
        <v>3</v>
      </c>
      <c r="H474" s="107">
        <f>+Tabla1[[#This Row],[CRÉDITOS]]-G474</f>
        <v>3</v>
      </c>
      <c r="I474" t="s">
        <v>1143</v>
      </c>
      <c r="J474" t="str">
        <f t="shared" si="7"/>
        <v>ELECTIVA IV</v>
      </c>
    </row>
    <row r="475" spans="2:10" x14ac:dyDescent="0.25">
      <c r="B475" s="54" t="s">
        <v>80</v>
      </c>
      <c r="C475" s="98">
        <v>10004</v>
      </c>
      <c r="D475" s="83" t="s">
        <v>734</v>
      </c>
      <c r="E475" s="78">
        <v>0</v>
      </c>
      <c r="H475" s="107">
        <f>+Tabla1[[#This Row],[CRÉDITOS]]-G475</f>
        <v>0</v>
      </c>
      <c r="I475" t="s">
        <v>1270</v>
      </c>
      <c r="J475" t="str">
        <f t="shared" si="7"/>
        <v>CN LECTO-E</v>
      </c>
    </row>
    <row r="476" spans="2:10" ht="28.5" x14ac:dyDescent="0.25">
      <c r="B476" s="54" t="s">
        <v>80</v>
      </c>
      <c r="C476" s="55">
        <v>50101</v>
      </c>
      <c r="D476" s="56" t="s">
        <v>308</v>
      </c>
      <c r="E476" s="57">
        <v>2</v>
      </c>
      <c r="H476" s="107">
        <f>+Tabla1[[#This Row],[CRÉDITOS]]-G476</f>
        <v>2</v>
      </c>
      <c r="I476" t="s">
        <v>1271</v>
      </c>
      <c r="J476" t="str">
        <f t="shared" si="7"/>
        <v>FUNDAMENTOS DE LA BIOLOGÍA HUMANA APLICADA A LA CULTURA FÍSICA</v>
      </c>
    </row>
    <row r="477" spans="2:10" x14ac:dyDescent="0.25">
      <c r="B477" s="54" t="s">
        <v>80</v>
      </c>
      <c r="C477" s="55">
        <v>50102</v>
      </c>
      <c r="D477" s="56" t="s">
        <v>310</v>
      </c>
      <c r="E477" s="57">
        <v>2</v>
      </c>
      <c r="H477" s="107">
        <f>+Tabla1[[#This Row],[CRÉDITOS]]-G477</f>
        <v>2</v>
      </c>
      <c r="I477" t="s">
        <v>1272</v>
      </c>
      <c r="J477" t="str">
        <f t="shared" si="7"/>
        <v>APRENDIZAJE Y DESARROLLO MOTOR</v>
      </c>
    </row>
    <row r="478" spans="2:10" x14ac:dyDescent="0.25">
      <c r="B478" s="54" t="s">
        <v>80</v>
      </c>
      <c r="C478" s="55">
        <v>50103</v>
      </c>
      <c r="D478" s="56" t="s">
        <v>320</v>
      </c>
      <c r="E478" s="57">
        <v>2</v>
      </c>
      <c r="H478" s="107">
        <f>+Tabla1[[#This Row],[CRÉDITOS]]-G478</f>
        <v>2</v>
      </c>
      <c r="I478" t="s">
        <v>1273</v>
      </c>
      <c r="J478" t="str">
        <f t="shared" si="7"/>
        <v>INTRODUCCIÓN A LA CULTURA FÍSICA</v>
      </c>
    </row>
    <row r="479" spans="2:10" x14ac:dyDescent="0.25">
      <c r="B479" s="54" t="s">
        <v>80</v>
      </c>
      <c r="C479" s="67">
        <v>50105</v>
      </c>
      <c r="D479" s="69" t="s">
        <v>737</v>
      </c>
      <c r="E479" s="70">
        <v>2</v>
      </c>
      <c r="H479" s="107">
        <f>+Tabla1[[#This Row],[CRÉDITOS]]-G479</f>
        <v>2</v>
      </c>
      <c r="I479" t="s">
        <v>1274</v>
      </c>
      <c r="J479" t="str">
        <f t="shared" si="7"/>
        <v>PRODUCCIÓN DE TEXTO</v>
      </c>
    </row>
    <row r="480" spans="2:10" ht="28.5" x14ac:dyDescent="0.25">
      <c r="B480" s="54" t="s">
        <v>80</v>
      </c>
      <c r="C480" s="55">
        <v>50206</v>
      </c>
      <c r="D480" s="56" t="s">
        <v>322</v>
      </c>
      <c r="E480" s="57">
        <v>2</v>
      </c>
      <c r="H480" s="107">
        <f>+Tabla1[[#This Row],[CRÉDITOS]]-G480</f>
        <v>2</v>
      </c>
      <c r="I480" t="s">
        <v>1275</v>
      </c>
      <c r="J480" t="str">
        <f t="shared" si="7"/>
        <v>INTRODUCCIÓN A LA ADMINISTRACIÓN DE LA C.F.D.R.</v>
      </c>
    </row>
    <row r="481" spans="2:10" x14ac:dyDescent="0.25">
      <c r="B481" s="54" t="s">
        <v>80</v>
      </c>
      <c r="C481" s="55">
        <v>50805</v>
      </c>
      <c r="D481" s="56" t="s">
        <v>316</v>
      </c>
      <c r="E481" s="57">
        <v>3</v>
      </c>
      <c r="H481" s="107">
        <f>+Tabla1[[#This Row],[CRÉDITOS]]-G481</f>
        <v>3</v>
      </c>
      <c r="I481" t="s">
        <v>1276</v>
      </c>
      <c r="J481" t="str">
        <f t="shared" si="7"/>
        <v>PEDAGOGÍA DE LA CULTURA FÍSICA</v>
      </c>
    </row>
    <row r="482" spans="2:10" x14ac:dyDescent="0.25">
      <c r="B482" s="54" t="s">
        <v>80</v>
      </c>
      <c r="C482" s="67">
        <v>56331</v>
      </c>
      <c r="D482" s="69" t="s">
        <v>366</v>
      </c>
      <c r="E482" s="70">
        <v>2</v>
      </c>
      <c r="H482" s="107">
        <f>+Tabla1[[#This Row],[CRÉDITOS]]-G482</f>
        <v>2</v>
      </c>
      <c r="I482" t="s">
        <v>1277</v>
      </c>
      <c r="J482" t="str">
        <f t="shared" si="7"/>
        <v>EXPRESIÓN CORPORAL Y ARTÍSTICA</v>
      </c>
    </row>
    <row r="483" spans="2:10" x14ac:dyDescent="0.25">
      <c r="B483" s="54" t="s">
        <v>80</v>
      </c>
      <c r="C483" s="67">
        <v>95001</v>
      </c>
      <c r="D483" s="69" t="s">
        <v>739</v>
      </c>
      <c r="E483" s="70">
        <v>2</v>
      </c>
      <c r="H483" s="107">
        <f>+Tabla1[[#This Row],[CRÉDITOS]]-G483</f>
        <v>2</v>
      </c>
      <c r="I483" t="s">
        <v>1278</v>
      </c>
      <c r="J483" t="str">
        <f t="shared" si="7"/>
        <v>HUMANIDADES I</v>
      </c>
    </row>
    <row r="484" spans="2:10" ht="28.5" x14ac:dyDescent="0.25">
      <c r="B484" s="54" t="s">
        <v>80</v>
      </c>
      <c r="C484" s="67">
        <v>95002</v>
      </c>
      <c r="D484" s="69" t="s">
        <v>741</v>
      </c>
      <c r="E484" s="70">
        <v>0</v>
      </c>
      <c r="H484" s="107">
        <f>+Tabla1[[#This Row],[CRÉDITOS]]-G484</f>
        <v>0</v>
      </c>
      <c r="I484" t="s">
        <v>1279</v>
      </c>
      <c r="J484" t="str">
        <f t="shared" si="7"/>
        <v>CÁTEDRA FORMACIÓN FÍSICA INTEGRAL, HENRI DIDON</v>
      </c>
    </row>
    <row r="485" spans="2:10" x14ac:dyDescent="0.25">
      <c r="B485" s="54" t="s">
        <v>80</v>
      </c>
      <c r="C485" s="67">
        <v>50002</v>
      </c>
      <c r="D485" s="69" t="s">
        <v>743</v>
      </c>
      <c r="E485" s="70">
        <v>3</v>
      </c>
      <c r="H485" s="107">
        <f>+Tabla1[[#This Row],[CRÉDITOS]]-G485</f>
        <v>3</v>
      </c>
      <c r="I485" t="s">
        <v>1280</v>
      </c>
      <c r="J485" t="str">
        <f t="shared" si="7"/>
        <v>PRAXIOLOGÍA MOTRIZ</v>
      </c>
    </row>
    <row r="486" spans="2:10" x14ac:dyDescent="0.25">
      <c r="B486" s="54" t="s">
        <v>80</v>
      </c>
      <c r="C486" s="55">
        <v>50003</v>
      </c>
      <c r="D486" s="56" t="s">
        <v>314</v>
      </c>
      <c r="E486" s="57">
        <v>2</v>
      </c>
      <c r="H486" s="107">
        <f>+Tabla1[[#This Row],[CRÉDITOS]]-G486</f>
        <v>2</v>
      </c>
      <c r="I486" t="s">
        <v>1281</v>
      </c>
      <c r="J486" t="str">
        <f t="shared" si="7"/>
        <v>DIDÁCTICA DE LA ACTIVIDAD FÍSICA</v>
      </c>
    </row>
    <row r="487" spans="2:10" x14ac:dyDescent="0.25">
      <c r="B487" s="54" t="s">
        <v>80</v>
      </c>
      <c r="C487" s="55">
        <v>50004</v>
      </c>
      <c r="D487" s="56" t="s">
        <v>326</v>
      </c>
      <c r="E487" s="57">
        <v>2</v>
      </c>
      <c r="H487" s="107">
        <f>+Tabla1[[#This Row],[CRÉDITOS]]-G487</f>
        <v>2</v>
      </c>
      <c r="I487" t="s">
        <v>1282</v>
      </c>
      <c r="J487" t="str">
        <f t="shared" si="7"/>
        <v>EVENTOS Y ESCENARIOS</v>
      </c>
    </row>
    <row r="488" spans="2:10" x14ac:dyDescent="0.25">
      <c r="B488" s="54" t="s">
        <v>80</v>
      </c>
      <c r="C488" s="67">
        <v>50005</v>
      </c>
      <c r="D488" s="69" t="s">
        <v>747</v>
      </c>
      <c r="E488" s="70">
        <v>2</v>
      </c>
      <c r="H488" s="107">
        <f>+Tabla1[[#This Row],[CRÉDITOS]]-G488</f>
        <v>2</v>
      </c>
      <c r="I488" t="s">
        <v>1283</v>
      </c>
      <c r="J488" t="str">
        <f t="shared" si="7"/>
        <v>SOCIOLOGÍA DEL DEPORTE</v>
      </c>
    </row>
    <row r="489" spans="2:10" x14ac:dyDescent="0.25">
      <c r="B489" s="54" t="s">
        <v>80</v>
      </c>
      <c r="C489" s="67">
        <v>50006</v>
      </c>
      <c r="D489" s="69" t="s">
        <v>353</v>
      </c>
      <c r="E489" s="70">
        <v>2</v>
      </c>
      <c r="H489" s="107">
        <f>+Tabla1[[#This Row],[CRÉDITOS]]-G489</f>
        <v>2</v>
      </c>
      <c r="I489" t="s">
        <v>1284</v>
      </c>
      <c r="J489" t="str">
        <f t="shared" si="7"/>
        <v>PSICOMOTRICIDAD</v>
      </c>
    </row>
    <row r="490" spans="2:10" x14ac:dyDescent="0.25">
      <c r="B490" s="54" t="s">
        <v>80</v>
      </c>
      <c r="C490" s="67">
        <v>50145</v>
      </c>
      <c r="D490" s="69" t="s">
        <v>339</v>
      </c>
      <c r="E490" s="70">
        <v>2</v>
      </c>
      <c r="H490" s="107">
        <f>+Tabla1[[#This Row],[CRÉDITOS]]-G490</f>
        <v>2</v>
      </c>
      <c r="I490" t="s">
        <v>1285</v>
      </c>
      <c r="J490" t="str">
        <f t="shared" si="7"/>
        <v>MARCO LEGAL DE LA C.F.D.R. EN COLOMBIA</v>
      </c>
    </row>
    <row r="491" spans="2:10" x14ac:dyDescent="0.25">
      <c r="B491" s="54" t="s">
        <v>80</v>
      </c>
      <c r="C491" s="55">
        <v>50205</v>
      </c>
      <c r="D491" s="56" t="s">
        <v>306</v>
      </c>
      <c r="E491" s="57">
        <v>2</v>
      </c>
      <c r="H491" s="107">
        <f>+Tabla1[[#This Row],[CRÉDITOS]]-G491</f>
        <v>2</v>
      </c>
      <c r="I491" t="s">
        <v>1286</v>
      </c>
      <c r="J491" t="str">
        <f t="shared" si="7"/>
        <v>MORFOFISIOLOGÍA</v>
      </c>
    </row>
    <row r="492" spans="2:10" x14ac:dyDescent="0.25">
      <c r="B492" s="54" t="s">
        <v>80</v>
      </c>
      <c r="C492" s="67">
        <v>95109</v>
      </c>
      <c r="D492" s="69" t="s">
        <v>752</v>
      </c>
      <c r="E492" s="70">
        <v>2</v>
      </c>
      <c r="H492" s="107">
        <f>+Tabla1[[#This Row],[CRÉDITOS]]-G492</f>
        <v>2</v>
      </c>
      <c r="I492" t="s">
        <v>1287</v>
      </c>
      <c r="J492" t="str">
        <f t="shared" si="7"/>
        <v>HUMANIDADES II</v>
      </c>
    </row>
    <row r="493" spans="2:10" x14ac:dyDescent="0.25">
      <c r="B493" s="54" t="s">
        <v>80</v>
      </c>
      <c r="C493" s="67">
        <v>50007</v>
      </c>
      <c r="D493" s="69" t="s">
        <v>343</v>
      </c>
      <c r="E493" s="70">
        <v>3</v>
      </c>
      <c r="H493" s="107">
        <f>+Tabla1[[#This Row],[CRÉDITOS]]-G493</f>
        <v>3</v>
      </c>
      <c r="I493" t="s">
        <v>1288</v>
      </c>
      <c r="J493" t="str">
        <f t="shared" si="7"/>
        <v>FISIOLOGÍA DEL EJERCICIO</v>
      </c>
    </row>
    <row r="494" spans="2:10" x14ac:dyDescent="0.25">
      <c r="B494" s="54" t="s">
        <v>80</v>
      </c>
      <c r="C494" s="67">
        <v>50008</v>
      </c>
      <c r="D494" s="69" t="s">
        <v>754</v>
      </c>
      <c r="E494" s="70">
        <v>2</v>
      </c>
      <c r="H494" s="107">
        <f>+Tabla1[[#This Row],[CRÉDITOS]]-G494</f>
        <v>2</v>
      </c>
      <c r="I494" t="s">
        <v>1289</v>
      </c>
      <c r="J494" t="str">
        <f t="shared" si="7"/>
        <v>BIOMECÁNICA</v>
      </c>
    </row>
    <row r="495" spans="2:10" ht="28.5" x14ac:dyDescent="0.25">
      <c r="B495" s="54" t="s">
        <v>80</v>
      </c>
      <c r="C495" s="67">
        <v>50603</v>
      </c>
      <c r="D495" s="69" t="s">
        <v>755</v>
      </c>
      <c r="E495" s="70">
        <v>2</v>
      </c>
      <c r="H495" s="107">
        <f>+Tabla1[[#This Row],[CRÉDITOS]]-G495</f>
        <v>2</v>
      </c>
      <c r="I495" t="s">
        <v>1290</v>
      </c>
      <c r="J495" t="str">
        <f t="shared" si="7"/>
        <v>NUTRICIÓN PARA LA ACTIVIDAD FÍSICA Y EL DEPORTE</v>
      </c>
    </row>
    <row r="496" spans="2:10" x14ac:dyDescent="0.25">
      <c r="B496" s="54" t="s">
        <v>80</v>
      </c>
      <c r="C496" s="67">
        <v>50009</v>
      </c>
      <c r="D496" s="69" t="s">
        <v>756</v>
      </c>
      <c r="E496" s="70">
        <v>2</v>
      </c>
      <c r="H496" s="107">
        <f>+Tabla1[[#This Row],[CRÉDITOS]]-G496</f>
        <v>2</v>
      </c>
      <c r="I496" t="s">
        <v>1291</v>
      </c>
      <c r="J496" t="str">
        <f t="shared" si="7"/>
        <v>PEDAGOGÍA DEL JUEGO</v>
      </c>
    </row>
    <row r="497" spans="2:10" x14ac:dyDescent="0.25">
      <c r="B497" s="54" t="s">
        <v>80</v>
      </c>
      <c r="C497" s="55">
        <v>50011</v>
      </c>
      <c r="D497" s="56" t="s">
        <v>312</v>
      </c>
      <c r="E497" s="57">
        <v>2</v>
      </c>
      <c r="H497" s="107">
        <f>+Tabla1[[#This Row],[CRÉDITOS]]-G497</f>
        <v>2</v>
      </c>
      <c r="I497" t="s">
        <v>1292</v>
      </c>
      <c r="J497" t="str">
        <f t="shared" si="7"/>
        <v>INICIACIÓN Y FORMACIÓN DEPORTIVA</v>
      </c>
    </row>
    <row r="498" spans="2:10" x14ac:dyDescent="0.25">
      <c r="B498" s="54" t="s">
        <v>80</v>
      </c>
      <c r="C498" s="67">
        <v>50146</v>
      </c>
      <c r="D498" s="69" t="s">
        <v>758</v>
      </c>
      <c r="E498" s="70">
        <v>2</v>
      </c>
      <c r="H498" s="107">
        <f>+Tabla1[[#This Row],[CRÉDITOS]]-G498</f>
        <v>2</v>
      </c>
      <c r="I498" t="s">
        <v>1293</v>
      </c>
      <c r="J498" t="str">
        <f t="shared" si="7"/>
        <v>HABILIDADES INVESTIGATIVAS</v>
      </c>
    </row>
    <row r="499" spans="2:10" ht="28.5" x14ac:dyDescent="0.25">
      <c r="B499" s="54" t="s">
        <v>80</v>
      </c>
      <c r="C499" s="67">
        <v>50603</v>
      </c>
      <c r="D499" s="69" t="s">
        <v>760</v>
      </c>
      <c r="E499" s="70">
        <v>2</v>
      </c>
      <c r="H499" s="107">
        <f>+Tabla1[[#This Row],[CRÉDITOS]]-G499</f>
        <v>2</v>
      </c>
      <c r="I499" t="s">
        <v>1294</v>
      </c>
      <c r="J499" t="str">
        <f t="shared" si="7"/>
        <v>DISEÑO Y GESTIÓN DE PROYECTOS DE LA C.F.D.R.</v>
      </c>
    </row>
    <row r="500" spans="2:10" x14ac:dyDescent="0.25">
      <c r="B500" s="54" t="s">
        <v>80</v>
      </c>
      <c r="C500" s="67">
        <v>95110</v>
      </c>
      <c r="D500" s="69" t="s">
        <v>761</v>
      </c>
      <c r="E500" s="70">
        <v>2</v>
      </c>
      <c r="H500" s="107">
        <f>+Tabla1[[#This Row],[CRÉDITOS]]-G500</f>
        <v>2</v>
      </c>
      <c r="I500" t="s">
        <v>1295</v>
      </c>
      <c r="J500" t="str">
        <f t="shared" si="7"/>
        <v>HUMANIDADES III</v>
      </c>
    </row>
    <row r="501" spans="2:10" ht="28.5" x14ac:dyDescent="0.25">
      <c r="B501" s="54" t="s">
        <v>80</v>
      </c>
      <c r="C501" s="67">
        <v>50012</v>
      </c>
      <c r="D501" s="69" t="s">
        <v>762</v>
      </c>
      <c r="E501" s="70">
        <v>2</v>
      </c>
      <c r="H501" s="107">
        <f>+Tabla1[[#This Row],[CRÉDITOS]]-G501</f>
        <v>2</v>
      </c>
      <c r="I501" t="s">
        <v>1296</v>
      </c>
      <c r="J501" t="str">
        <f t="shared" si="7"/>
        <v>ENFERMEDADES CRÓNICAS NO TRANSMISIBLES - PATOKINESIS</v>
      </c>
    </row>
    <row r="502" spans="2:10" x14ac:dyDescent="0.25">
      <c r="B502" s="54" t="s">
        <v>80</v>
      </c>
      <c r="C502" s="67">
        <v>50013</v>
      </c>
      <c r="D502" s="69" t="s">
        <v>763</v>
      </c>
      <c r="E502" s="70">
        <v>3</v>
      </c>
      <c r="H502" s="107">
        <f>+Tabla1[[#This Row],[CRÉDITOS]]-G502</f>
        <v>3</v>
      </c>
      <c r="I502" t="s">
        <v>1297</v>
      </c>
      <c r="J502" t="str">
        <f t="shared" si="7"/>
        <v>DEPORTES DE ARTE Y PRECISIÓN</v>
      </c>
    </row>
    <row r="503" spans="2:10" ht="28.5" x14ac:dyDescent="0.25">
      <c r="B503" s="54" t="s">
        <v>80</v>
      </c>
      <c r="C503" s="67">
        <v>50014</v>
      </c>
      <c r="D503" s="69" t="s">
        <v>764</v>
      </c>
      <c r="E503" s="70">
        <v>3</v>
      </c>
      <c r="H503" s="107">
        <f>+Tabla1[[#This Row],[CRÉDITOS]]-G503</f>
        <v>3</v>
      </c>
      <c r="I503" t="s">
        <v>1298</v>
      </c>
      <c r="J503" t="str">
        <f t="shared" si="7"/>
        <v>METODOLOGÍAS PARA LA ENSEÑANZA DE LA RECREACIÓN</v>
      </c>
    </row>
    <row r="504" spans="2:10" x14ac:dyDescent="0.25">
      <c r="B504" s="54" t="s">
        <v>80</v>
      </c>
      <c r="C504" s="67">
        <v>50015</v>
      </c>
      <c r="D504" s="69" t="s">
        <v>765</v>
      </c>
      <c r="E504" s="70">
        <v>2</v>
      </c>
      <c r="H504" s="107">
        <f>+Tabla1[[#This Row],[CRÉDITOS]]-G504</f>
        <v>2</v>
      </c>
      <c r="I504" t="s">
        <v>1299</v>
      </c>
      <c r="J504" t="str">
        <f t="shared" si="7"/>
        <v>MARKETING DEPORTIVO</v>
      </c>
    </row>
    <row r="505" spans="2:10" x14ac:dyDescent="0.25">
      <c r="B505" s="54" t="s">
        <v>80</v>
      </c>
      <c r="C505" s="67">
        <v>50141</v>
      </c>
      <c r="D505" s="69" t="s">
        <v>348</v>
      </c>
      <c r="E505" s="70">
        <v>3</v>
      </c>
      <c r="H505" s="107">
        <f>+Tabla1[[#This Row],[CRÉDITOS]]-G505</f>
        <v>3</v>
      </c>
      <c r="I505" t="s">
        <v>1300</v>
      </c>
      <c r="J505" t="str">
        <f t="shared" si="7"/>
        <v>ENTRENAMIENTO Y RENDIMIENTO DEPORTIVO</v>
      </c>
    </row>
    <row r="506" spans="2:10" x14ac:dyDescent="0.25">
      <c r="B506" s="54" t="s">
        <v>80</v>
      </c>
      <c r="C506" s="67">
        <v>50408</v>
      </c>
      <c r="D506" s="69" t="s">
        <v>767</v>
      </c>
      <c r="E506" s="70">
        <v>2</v>
      </c>
      <c r="H506" s="107">
        <f>+Tabla1[[#This Row],[CRÉDITOS]]-G506</f>
        <v>2</v>
      </c>
      <c r="I506" t="s">
        <v>1301</v>
      </c>
      <c r="J506" t="str">
        <f t="shared" si="7"/>
        <v>EVALUACIÓN FUNCIONAL</v>
      </c>
    </row>
    <row r="507" spans="2:10" x14ac:dyDescent="0.25">
      <c r="B507" s="54" t="s">
        <v>80</v>
      </c>
      <c r="C507" s="67">
        <v>95111</v>
      </c>
      <c r="D507" s="69" t="s">
        <v>768</v>
      </c>
      <c r="E507" s="70">
        <v>2</v>
      </c>
      <c r="H507" s="107">
        <f>+Tabla1[[#This Row],[CRÉDITOS]]-G507</f>
        <v>2</v>
      </c>
      <c r="I507" t="s">
        <v>1302</v>
      </c>
      <c r="J507" t="str">
        <f t="shared" si="7"/>
        <v>HUMANIDADES IV</v>
      </c>
    </row>
    <row r="508" spans="2:10" ht="28.5" x14ac:dyDescent="0.25">
      <c r="B508" s="54" t="s">
        <v>80</v>
      </c>
      <c r="C508" s="67">
        <v>50016</v>
      </c>
      <c r="D508" s="69" t="s">
        <v>330</v>
      </c>
      <c r="E508" s="70">
        <v>2</v>
      </c>
      <c r="H508" s="107">
        <f>+Tabla1[[#This Row],[CRÉDITOS]]-G508</f>
        <v>2</v>
      </c>
      <c r="I508" t="s">
        <v>1303</v>
      </c>
      <c r="J508" t="str">
        <f t="shared" si="7"/>
        <v>PROGRAMACIÓN DEL EJERCICIO PARA LA SALUD</v>
      </c>
    </row>
    <row r="509" spans="2:10" x14ac:dyDescent="0.25">
      <c r="B509" s="54" t="s">
        <v>80</v>
      </c>
      <c r="C509" s="67">
        <v>50017</v>
      </c>
      <c r="D509" s="69" t="s">
        <v>770</v>
      </c>
      <c r="E509" s="70">
        <v>2</v>
      </c>
      <c r="H509" s="107">
        <f>+Tabla1[[#This Row],[CRÉDITOS]]-G509</f>
        <v>2</v>
      </c>
      <c r="I509" t="s">
        <v>1304</v>
      </c>
      <c r="J509" t="str">
        <f t="shared" si="7"/>
        <v>DEPORTES DE COMBATE</v>
      </c>
    </row>
    <row r="510" spans="2:10" x14ac:dyDescent="0.25">
      <c r="B510" s="54" t="s">
        <v>80</v>
      </c>
      <c r="C510" s="67">
        <v>50018</v>
      </c>
      <c r="D510" s="69" t="s">
        <v>771</v>
      </c>
      <c r="E510" s="70">
        <v>3</v>
      </c>
      <c r="H510" s="107">
        <f>+Tabla1[[#This Row],[CRÉDITOS]]-G510</f>
        <v>3</v>
      </c>
      <c r="I510" t="s">
        <v>1305</v>
      </c>
      <c r="J510" t="str">
        <f t="shared" si="7"/>
        <v>DEPORTES DE CONJUNTO</v>
      </c>
    </row>
    <row r="511" spans="2:10" ht="28.5" x14ac:dyDescent="0.25">
      <c r="B511" s="54" t="s">
        <v>80</v>
      </c>
      <c r="C511" s="67">
        <v>50019</v>
      </c>
      <c r="D511" s="69" t="s">
        <v>772</v>
      </c>
      <c r="E511" s="70">
        <v>2</v>
      </c>
      <c r="H511" s="107">
        <f>+Tabla1[[#This Row],[CRÉDITOS]]-G511</f>
        <v>2</v>
      </c>
      <c r="I511" t="s">
        <v>1306</v>
      </c>
      <c r="J511" t="str">
        <f t="shared" si="7"/>
        <v>MARCO CONCEPTUAL, HISTORIA Y TENDENCIAS DE LA RECREACIÓN</v>
      </c>
    </row>
    <row r="512" spans="2:10" x14ac:dyDescent="0.25">
      <c r="B512" s="54" t="s">
        <v>80</v>
      </c>
      <c r="C512" s="67">
        <v>50020</v>
      </c>
      <c r="D512" s="69" t="s">
        <v>775</v>
      </c>
      <c r="E512" s="70">
        <v>2</v>
      </c>
      <c r="H512" s="107">
        <f>+Tabla1[[#This Row],[CRÉDITOS]]-G512</f>
        <v>2</v>
      </c>
      <c r="I512" t="s">
        <v>1307</v>
      </c>
      <c r="J512" t="str">
        <f t="shared" si="7"/>
        <v>ESTADÍSTICA APLICADA A LA INVESTIGACIÓN</v>
      </c>
    </row>
    <row r="513" spans="2:10" x14ac:dyDescent="0.25">
      <c r="B513" s="54" t="s">
        <v>80</v>
      </c>
      <c r="C513" s="67">
        <v>50183</v>
      </c>
      <c r="D513" s="69" t="s">
        <v>336</v>
      </c>
      <c r="E513" s="70">
        <v>3</v>
      </c>
      <c r="H513" s="107">
        <f>+Tabla1[[#This Row],[CRÉDITOS]]-G513</f>
        <v>3</v>
      </c>
      <c r="I513" t="s">
        <v>1308</v>
      </c>
      <c r="J513" t="str">
        <f t="shared" si="7"/>
        <v>PROMOCIÓN Y PREVENCIÓN DE LA SALUD</v>
      </c>
    </row>
    <row r="514" spans="2:10" x14ac:dyDescent="0.25">
      <c r="B514" s="54" t="s">
        <v>80</v>
      </c>
      <c r="C514" s="67">
        <v>50409</v>
      </c>
      <c r="D514" s="69" t="s">
        <v>776</v>
      </c>
      <c r="E514" s="70">
        <v>2</v>
      </c>
      <c r="H514" s="107">
        <f>+Tabla1[[#This Row],[CRÉDITOS]]-G514</f>
        <v>2</v>
      </c>
      <c r="I514" t="s">
        <v>1309</v>
      </c>
      <c r="J514" t="str">
        <f t="shared" si="7"/>
        <v>CAMPAMENTO Y EDUCACIÓN PARA LA VIDA</v>
      </c>
    </row>
    <row r="515" spans="2:10" x14ac:dyDescent="0.25">
      <c r="B515" s="54" t="s">
        <v>80</v>
      </c>
      <c r="C515" s="55">
        <v>50021</v>
      </c>
      <c r="D515" s="56" t="s">
        <v>324</v>
      </c>
      <c r="E515" s="57">
        <v>3</v>
      </c>
      <c r="H515" s="107">
        <f>+Tabla1[[#This Row],[CRÉDITOS]]-G515</f>
        <v>3</v>
      </c>
      <c r="I515" t="s">
        <v>1310</v>
      </c>
      <c r="J515" t="str">
        <f t="shared" si="7"/>
        <v>ENTRENAMIENTO PERSONALIZADO Y GRUPAL</v>
      </c>
    </row>
    <row r="516" spans="2:10" x14ac:dyDescent="0.25">
      <c r="B516" s="54" t="s">
        <v>80</v>
      </c>
      <c r="C516" s="67">
        <v>50022</v>
      </c>
      <c r="D516" s="69" t="s">
        <v>778</v>
      </c>
      <c r="E516" s="70">
        <v>3</v>
      </c>
      <c r="H516" s="107">
        <f>+Tabla1[[#This Row],[CRÉDITOS]]-G516</f>
        <v>3</v>
      </c>
      <c r="I516" t="s">
        <v>1311</v>
      </c>
      <c r="J516" t="str">
        <f t="shared" ref="J516:J579" si="8">+UPPER(I516)</f>
        <v>DEPORTES DE TIEMPO Y MARCA</v>
      </c>
    </row>
    <row r="517" spans="2:10" ht="28.5" x14ac:dyDescent="0.25">
      <c r="B517" s="54" t="s">
        <v>80</v>
      </c>
      <c r="C517" s="67">
        <v>50023</v>
      </c>
      <c r="D517" s="69" t="s">
        <v>361</v>
      </c>
      <c r="E517" s="70">
        <v>2</v>
      </c>
      <c r="H517" s="107">
        <f>+Tabla1[[#This Row],[CRÉDITOS]]-G517</f>
        <v>2</v>
      </c>
      <c r="I517" t="s">
        <v>1312</v>
      </c>
      <c r="J517" t="str">
        <f t="shared" si="8"/>
        <v>DISEÑO DE INSTRUMENTOS Y PROPUESTAS RECREATIVAS</v>
      </c>
    </row>
    <row r="518" spans="2:10" x14ac:dyDescent="0.25">
      <c r="B518" s="54" t="s">
        <v>80</v>
      </c>
      <c r="C518" s="67">
        <v>50024</v>
      </c>
      <c r="D518" s="69" t="s">
        <v>781</v>
      </c>
      <c r="E518" s="70">
        <v>2</v>
      </c>
      <c r="H518" s="107">
        <f>+Tabla1[[#This Row],[CRÉDITOS]]-G518</f>
        <v>2</v>
      </c>
      <c r="I518" t="s">
        <v>1313</v>
      </c>
      <c r="J518" t="str">
        <f t="shared" si="8"/>
        <v>PSICOLOGÍA DEPORTIVA</v>
      </c>
    </row>
    <row r="519" spans="2:10" x14ac:dyDescent="0.25">
      <c r="B519" s="54" t="s">
        <v>80</v>
      </c>
      <c r="C519" s="67">
        <v>50140</v>
      </c>
      <c r="D519" s="69" t="s">
        <v>782</v>
      </c>
      <c r="E519" s="70">
        <v>2</v>
      </c>
      <c r="H519" s="107">
        <f>+Tabla1[[#This Row],[CRÉDITOS]]-G519</f>
        <v>2</v>
      </c>
      <c r="I519" t="s">
        <v>1314</v>
      </c>
      <c r="J519" t="str">
        <f t="shared" si="8"/>
        <v>DEPORTES ALTERNATIVOS</v>
      </c>
    </row>
    <row r="520" spans="2:10" x14ac:dyDescent="0.25">
      <c r="B520" s="54" t="s">
        <v>80</v>
      </c>
      <c r="C520" s="67">
        <v>50148</v>
      </c>
      <c r="D520" s="69" t="s">
        <v>784</v>
      </c>
      <c r="E520" s="70">
        <v>2</v>
      </c>
      <c r="H520" s="107">
        <f>+Tabla1[[#This Row],[CRÉDITOS]]-G520</f>
        <v>2</v>
      </c>
      <c r="I520" t="s">
        <v>1315</v>
      </c>
      <c r="J520" t="str">
        <f t="shared" si="8"/>
        <v>EDUCACIÓN EXPERIENCIAL</v>
      </c>
    </row>
    <row r="521" spans="2:10" ht="28.5" x14ac:dyDescent="0.25">
      <c r="B521" s="54" t="s">
        <v>80</v>
      </c>
      <c r="C521" s="67">
        <v>50702</v>
      </c>
      <c r="D521" s="69" t="s">
        <v>785</v>
      </c>
      <c r="E521" s="70">
        <v>2</v>
      </c>
      <c r="H521" s="107">
        <f>+Tabla1[[#This Row],[CRÉDITOS]]-G521</f>
        <v>2</v>
      </c>
      <c r="I521" t="s">
        <v>1316</v>
      </c>
      <c r="J521" t="str">
        <f t="shared" si="8"/>
        <v>ADMINISTRACIÓN DE LOS ORGANISMOS DEPORTIVOS</v>
      </c>
    </row>
    <row r="522" spans="2:10" x14ac:dyDescent="0.25">
      <c r="B522" s="54" t="s">
        <v>80</v>
      </c>
      <c r="C522" s="67">
        <v>50025</v>
      </c>
      <c r="D522" s="69" t="s">
        <v>787</v>
      </c>
      <c r="E522" s="70">
        <v>2</v>
      </c>
      <c r="H522" s="107">
        <f>+Tabla1[[#This Row],[CRÉDITOS]]-G522</f>
        <v>2</v>
      </c>
      <c r="I522" t="s">
        <v>1317</v>
      </c>
      <c r="J522" t="str">
        <f t="shared" si="8"/>
        <v>TECNOLOGÍA APLICADA A LA CFDR</v>
      </c>
    </row>
    <row r="523" spans="2:10" x14ac:dyDescent="0.25">
      <c r="B523" s="54" t="s">
        <v>80</v>
      </c>
      <c r="C523" s="67">
        <v>50026</v>
      </c>
      <c r="D523" s="69" t="s">
        <v>351</v>
      </c>
      <c r="E523" s="70">
        <v>3</v>
      </c>
      <c r="H523" s="107">
        <f>+Tabla1[[#This Row],[CRÉDITOS]]-G523</f>
        <v>3</v>
      </c>
      <c r="I523" t="s">
        <v>1040</v>
      </c>
      <c r="J523" t="str">
        <f t="shared" si="8"/>
        <v>METODOLOGÍA DE LA INVESTIGACIÓN</v>
      </c>
    </row>
    <row r="524" spans="2:10" x14ac:dyDescent="0.25">
      <c r="B524" s="54" t="s">
        <v>80</v>
      </c>
      <c r="C524" s="67">
        <v>50210</v>
      </c>
      <c r="D524" s="69" t="s">
        <v>789</v>
      </c>
      <c r="E524" s="70">
        <v>3</v>
      </c>
      <c r="H524" s="107">
        <f>+Tabla1[[#This Row],[CRÉDITOS]]-G524</f>
        <v>3</v>
      </c>
      <c r="I524" t="s">
        <v>1318</v>
      </c>
      <c r="J524" t="str">
        <f t="shared" si="8"/>
        <v>PROFUNDIZACIÓN 1</v>
      </c>
    </row>
    <row r="525" spans="2:10" x14ac:dyDescent="0.25">
      <c r="B525" s="54" t="s">
        <v>80</v>
      </c>
      <c r="C525" s="67">
        <v>50301</v>
      </c>
      <c r="D525" s="69" t="s">
        <v>790</v>
      </c>
      <c r="E525" s="70">
        <v>3</v>
      </c>
      <c r="H525" s="107">
        <f>+Tabla1[[#This Row],[CRÉDITOS]]-G525</f>
        <v>3</v>
      </c>
      <c r="I525" t="s">
        <v>1319</v>
      </c>
      <c r="J525" t="str">
        <f t="shared" si="8"/>
        <v>PROFUNDIZACIÓN 2</v>
      </c>
    </row>
    <row r="526" spans="2:10" x14ac:dyDescent="0.25">
      <c r="B526" s="54" t="s">
        <v>80</v>
      </c>
      <c r="C526" s="55">
        <v>50302</v>
      </c>
      <c r="D526" s="56" t="s">
        <v>471</v>
      </c>
      <c r="E526" s="57">
        <v>2</v>
      </c>
      <c r="H526" s="107">
        <f>+Tabla1[[#This Row],[CRÉDITOS]]-G526</f>
        <v>2</v>
      </c>
      <c r="I526" t="s">
        <v>1115</v>
      </c>
      <c r="J526" t="str">
        <f t="shared" si="8"/>
        <v>ELECTIVA I</v>
      </c>
    </row>
    <row r="527" spans="2:10" x14ac:dyDescent="0.25">
      <c r="B527" s="54" t="s">
        <v>80</v>
      </c>
      <c r="C527" s="67">
        <v>95112</v>
      </c>
      <c r="D527" s="69" t="s">
        <v>792</v>
      </c>
      <c r="E527" s="70">
        <v>2</v>
      </c>
      <c r="H527" s="107">
        <f>+Tabla1[[#This Row],[CRÉDITOS]]-G527</f>
        <v>2</v>
      </c>
      <c r="I527" t="s">
        <v>1320</v>
      </c>
      <c r="J527" t="str">
        <f t="shared" si="8"/>
        <v>HUMANIDADES V</v>
      </c>
    </row>
    <row r="528" spans="2:10" x14ac:dyDescent="0.25">
      <c r="B528" s="54" t="s">
        <v>80</v>
      </c>
      <c r="C528" s="67">
        <v>50602</v>
      </c>
      <c r="D528" s="69" t="s">
        <v>794</v>
      </c>
      <c r="E528" s="70">
        <v>2</v>
      </c>
      <c r="H528" s="107">
        <f>+Tabla1[[#This Row],[CRÉDITOS]]-G528</f>
        <v>2</v>
      </c>
      <c r="I528" t="s">
        <v>1321</v>
      </c>
      <c r="J528" t="str">
        <f t="shared" si="8"/>
        <v>PROYECTO DE INVESTIGACIÓN</v>
      </c>
    </row>
    <row r="529" spans="2:10" x14ac:dyDescent="0.25">
      <c r="B529" s="54" t="s">
        <v>80</v>
      </c>
      <c r="C529" s="67">
        <v>50606</v>
      </c>
      <c r="D529" s="69" t="s">
        <v>479</v>
      </c>
      <c r="E529" s="70">
        <v>2</v>
      </c>
      <c r="H529" s="107">
        <f>+Tabla1[[#This Row],[CRÉDITOS]]-G529</f>
        <v>2</v>
      </c>
      <c r="I529" t="s">
        <v>1121</v>
      </c>
      <c r="J529" t="str">
        <f t="shared" si="8"/>
        <v>ELECTIVA II</v>
      </c>
    </row>
    <row r="530" spans="2:10" x14ac:dyDescent="0.25">
      <c r="B530" s="54" t="s">
        <v>80</v>
      </c>
      <c r="C530" s="67">
        <v>50801</v>
      </c>
      <c r="D530" s="69" t="s">
        <v>796</v>
      </c>
      <c r="E530" s="70">
        <v>3</v>
      </c>
      <c r="H530" s="107">
        <f>+Tabla1[[#This Row],[CRÉDITOS]]-G530</f>
        <v>3</v>
      </c>
      <c r="I530" t="s">
        <v>1322</v>
      </c>
      <c r="J530" t="str">
        <f t="shared" si="8"/>
        <v>PROFUNDIZACIÓN 3</v>
      </c>
    </row>
    <row r="531" spans="2:10" x14ac:dyDescent="0.25">
      <c r="B531" s="54" t="s">
        <v>80</v>
      </c>
      <c r="C531" s="67">
        <v>50802</v>
      </c>
      <c r="D531" s="69" t="s">
        <v>798</v>
      </c>
      <c r="E531" s="70">
        <v>3</v>
      </c>
      <c r="H531" s="107">
        <f>+Tabla1[[#This Row],[CRÉDITOS]]-G531</f>
        <v>3</v>
      </c>
      <c r="I531" t="s">
        <v>1323</v>
      </c>
      <c r="J531" t="str">
        <f t="shared" si="8"/>
        <v>PROFUNDIZACIÓN 4</v>
      </c>
    </row>
    <row r="532" spans="2:10" x14ac:dyDescent="0.25">
      <c r="B532" s="54" t="s">
        <v>80</v>
      </c>
      <c r="C532" s="67">
        <v>50905</v>
      </c>
      <c r="D532" s="69" t="s">
        <v>217</v>
      </c>
      <c r="E532" s="70">
        <v>3</v>
      </c>
      <c r="H532" s="107">
        <f>+Tabla1[[#This Row],[CRÉDITOS]]-G532</f>
        <v>3</v>
      </c>
      <c r="I532" t="s">
        <v>970</v>
      </c>
      <c r="J532" t="str">
        <f t="shared" si="8"/>
        <v>CATEDRA OPCIONAL</v>
      </c>
    </row>
    <row r="533" spans="2:10" x14ac:dyDescent="0.25">
      <c r="B533" s="54" t="s">
        <v>80</v>
      </c>
      <c r="C533" s="67">
        <v>50177</v>
      </c>
      <c r="D533" s="69" t="s">
        <v>799</v>
      </c>
      <c r="E533" s="70">
        <v>9</v>
      </c>
      <c r="H533" s="107">
        <f>+Tabla1[[#This Row],[CRÉDITOS]]-G533</f>
        <v>9</v>
      </c>
      <c r="I533" t="s">
        <v>1324</v>
      </c>
      <c r="J533" t="str">
        <f t="shared" si="8"/>
        <v>PRACTICAS PROFESIONALES</v>
      </c>
    </row>
    <row r="534" spans="2:10" x14ac:dyDescent="0.25">
      <c r="B534" s="54" t="s">
        <v>80</v>
      </c>
      <c r="C534" s="67">
        <v>50703</v>
      </c>
      <c r="D534" s="69" t="s">
        <v>524</v>
      </c>
      <c r="E534" s="70">
        <v>2</v>
      </c>
      <c r="H534" s="107">
        <f>+Tabla1[[#This Row],[CRÉDITOS]]-G534</f>
        <v>2</v>
      </c>
      <c r="I534" t="s">
        <v>1143</v>
      </c>
      <c r="J534" t="str">
        <f t="shared" si="8"/>
        <v>ELECTIVA IV</v>
      </c>
    </row>
    <row r="535" spans="2:10" x14ac:dyDescent="0.25">
      <c r="B535" s="54" t="s">
        <v>80</v>
      </c>
      <c r="C535" s="67">
        <v>50706</v>
      </c>
      <c r="D535" s="69" t="s">
        <v>514</v>
      </c>
      <c r="E535" s="70">
        <v>2</v>
      </c>
      <c r="H535" s="107">
        <f>+Tabla1[[#This Row],[CRÉDITOS]]-G535</f>
        <v>2</v>
      </c>
      <c r="I535" t="s">
        <v>1137</v>
      </c>
      <c r="J535" t="str">
        <f t="shared" si="8"/>
        <v>ELECTIVA III</v>
      </c>
    </row>
    <row r="536" spans="2:10" x14ac:dyDescent="0.25">
      <c r="B536" s="54" t="s">
        <v>80</v>
      </c>
      <c r="C536" s="67">
        <v>50900</v>
      </c>
      <c r="D536" s="69" t="s">
        <v>307</v>
      </c>
      <c r="E536" s="70">
        <v>3</v>
      </c>
      <c r="H536" s="107">
        <f>+Tabla1[[#This Row],[CRÉDITOS]]-G536</f>
        <v>3</v>
      </c>
      <c r="I536" t="s">
        <v>1019</v>
      </c>
      <c r="J536" t="str">
        <f t="shared" si="8"/>
        <v>OPCIÓN DE GRADO</v>
      </c>
    </row>
    <row r="537" spans="2:10" x14ac:dyDescent="0.25">
      <c r="B537" s="54" t="s">
        <v>85</v>
      </c>
      <c r="C537" s="67">
        <v>96111</v>
      </c>
      <c r="D537" s="69" t="s">
        <v>247</v>
      </c>
      <c r="E537" s="70">
        <v>3</v>
      </c>
      <c r="H537" s="107">
        <f>+Tabla1[[#This Row],[CRÉDITOS]]-G537</f>
        <v>3</v>
      </c>
      <c r="I537" t="s">
        <v>988</v>
      </c>
      <c r="J537" t="str">
        <f t="shared" si="8"/>
        <v>ÁLGEBRA LINEAL</v>
      </c>
    </row>
    <row r="538" spans="2:10" x14ac:dyDescent="0.25">
      <c r="B538" s="54" t="s">
        <v>85</v>
      </c>
      <c r="C538" s="99">
        <v>15005</v>
      </c>
      <c r="D538" s="72" t="s">
        <v>803</v>
      </c>
      <c r="E538" s="71">
        <v>3</v>
      </c>
      <c r="H538" s="107">
        <f>+Tabla1[[#This Row],[CRÉDITOS]]-G538</f>
        <v>3</v>
      </c>
      <c r="I538" t="s">
        <v>1325</v>
      </c>
      <c r="J538" t="str">
        <f t="shared" si="8"/>
        <v>BIOLOGÍA</v>
      </c>
    </row>
    <row r="539" spans="2:10" x14ac:dyDescent="0.25">
      <c r="B539" s="54" t="s">
        <v>85</v>
      </c>
      <c r="C539" s="67">
        <v>96110</v>
      </c>
      <c r="D539" s="69" t="s">
        <v>240</v>
      </c>
      <c r="E539" s="70">
        <v>3</v>
      </c>
      <c r="H539" s="107">
        <f>+Tabla1[[#This Row],[CRÉDITOS]]-G539</f>
        <v>3</v>
      </c>
      <c r="I539" t="s">
        <v>984</v>
      </c>
      <c r="J539" t="str">
        <f t="shared" si="8"/>
        <v>CÁLCULO DIFERENCIAL</v>
      </c>
    </row>
    <row r="540" spans="2:10" ht="28.5" x14ac:dyDescent="0.25">
      <c r="B540" s="54" t="s">
        <v>85</v>
      </c>
      <c r="C540" s="100">
        <v>95170</v>
      </c>
      <c r="D540" s="85" t="s">
        <v>804</v>
      </c>
      <c r="E540" s="75">
        <v>0</v>
      </c>
      <c r="H540" s="107">
        <f>+Tabla1[[#This Row],[CRÉDITOS]]-G540</f>
        <v>0</v>
      </c>
      <c r="I540" t="s">
        <v>1326</v>
      </c>
      <c r="J540" t="str">
        <f t="shared" si="8"/>
        <v>CÁTEDRA FORMACIÓN FÍSICA INTEGRAL - HENRI DIDON</v>
      </c>
    </row>
    <row r="541" spans="2:10" x14ac:dyDescent="0.25">
      <c r="B541" s="54" t="s">
        <v>85</v>
      </c>
      <c r="C541" s="99">
        <v>95108</v>
      </c>
      <c r="D541" s="72" t="s">
        <v>101</v>
      </c>
      <c r="E541" s="71">
        <v>2</v>
      </c>
      <c r="H541" s="107">
        <f>+Tabla1[[#This Row],[CRÉDITOS]]-G541</f>
        <v>2</v>
      </c>
      <c r="I541" t="s">
        <v>927</v>
      </c>
      <c r="J541" t="str">
        <f t="shared" si="8"/>
        <v>FILOSOFÍA INSTITUCIONAL</v>
      </c>
    </row>
    <row r="542" spans="2:10" x14ac:dyDescent="0.25">
      <c r="B542" s="54" t="s">
        <v>85</v>
      </c>
      <c r="C542" s="99">
        <v>15062</v>
      </c>
      <c r="D542" s="72" t="s">
        <v>290</v>
      </c>
      <c r="E542" s="71">
        <v>3</v>
      </c>
      <c r="H542" s="107">
        <f>+Tabla1[[#This Row],[CRÉDITOS]]-G542</f>
        <v>3</v>
      </c>
      <c r="I542" t="s">
        <v>1327</v>
      </c>
      <c r="J542" t="str">
        <f t="shared" si="8"/>
        <v>INTRODUCCIÓN A LA INGENIERÍA AMBIENTAL</v>
      </c>
    </row>
    <row r="543" spans="2:10" x14ac:dyDescent="0.25">
      <c r="B543" s="54" t="s">
        <v>85</v>
      </c>
      <c r="C543" s="67">
        <v>95109</v>
      </c>
      <c r="D543" s="69" t="s">
        <v>136</v>
      </c>
      <c r="E543" s="70">
        <v>2</v>
      </c>
      <c r="H543" s="107">
        <f>+Tabla1[[#This Row],[CRÉDITOS]]-G543</f>
        <v>2</v>
      </c>
      <c r="I543" t="s">
        <v>936</v>
      </c>
      <c r="J543" t="str">
        <f t="shared" si="8"/>
        <v>ANTROPOLOGÍA</v>
      </c>
    </row>
    <row r="544" spans="2:10" x14ac:dyDescent="0.25">
      <c r="B544" s="54" t="s">
        <v>85</v>
      </c>
      <c r="C544" s="67">
        <v>96113</v>
      </c>
      <c r="D544" s="69" t="s">
        <v>249</v>
      </c>
      <c r="E544" s="70">
        <v>3</v>
      </c>
      <c r="H544" s="107">
        <f>+Tabla1[[#This Row],[CRÉDITOS]]-G544</f>
        <v>3</v>
      </c>
      <c r="I544" t="s">
        <v>989</v>
      </c>
      <c r="J544" t="str">
        <f t="shared" si="8"/>
        <v>CÁLCULO INTEGRAL</v>
      </c>
    </row>
    <row r="545" spans="2:10" x14ac:dyDescent="0.25">
      <c r="B545" s="54" t="s">
        <v>85</v>
      </c>
      <c r="C545" s="67">
        <v>15061</v>
      </c>
      <c r="D545" s="69" t="s">
        <v>807</v>
      </c>
      <c r="E545" s="70">
        <v>3</v>
      </c>
      <c r="H545" s="107">
        <f>+Tabla1[[#This Row],[CRÉDITOS]]-G545</f>
        <v>3</v>
      </c>
      <c r="I545" t="s">
        <v>1328</v>
      </c>
      <c r="J545" t="str">
        <f t="shared" si="8"/>
        <v>ECOLOGÍA</v>
      </c>
    </row>
    <row r="546" spans="2:10" x14ac:dyDescent="0.25">
      <c r="B546" s="54" t="s">
        <v>85</v>
      </c>
      <c r="C546" s="99">
        <v>15650</v>
      </c>
      <c r="D546" s="72" t="s">
        <v>809</v>
      </c>
      <c r="E546" s="71">
        <v>2</v>
      </c>
      <c r="H546" s="107">
        <f>+Tabla1[[#This Row],[CRÉDITOS]]-G546</f>
        <v>2</v>
      </c>
      <c r="I546" t="s">
        <v>1329</v>
      </c>
      <c r="J546" t="str">
        <f t="shared" si="8"/>
        <v>LENGUA EXTRANJERA I</v>
      </c>
    </row>
    <row r="547" spans="2:10" x14ac:dyDescent="0.25">
      <c r="B547" s="54" t="s">
        <v>85</v>
      </c>
      <c r="C547" s="67">
        <v>96112</v>
      </c>
      <c r="D547" s="69" t="s">
        <v>235</v>
      </c>
      <c r="E547" s="70">
        <v>3</v>
      </c>
      <c r="H547" s="107">
        <f>+Tabla1[[#This Row],[CRÉDITOS]]-G547</f>
        <v>3</v>
      </c>
      <c r="I547" t="s">
        <v>981</v>
      </c>
      <c r="J547" t="str">
        <f t="shared" si="8"/>
        <v>FÍSICA MECÁNICA</v>
      </c>
    </row>
    <row r="548" spans="2:10" x14ac:dyDescent="0.25">
      <c r="B548" s="54" t="s">
        <v>85</v>
      </c>
      <c r="C548" s="67">
        <v>96145</v>
      </c>
      <c r="D548" s="69" t="s">
        <v>813</v>
      </c>
      <c r="E548" s="70">
        <v>3</v>
      </c>
      <c r="H548" s="107">
        <f>+Tabla1[[#This Row],[CRÉDITOS]]-G548</f>
        <v>3</v>
      </c>
      <c r="I548" t="s">
        <v>1330</v>
      </c>
      <c r="J548" t="str">
        <f t="shared" si="8"/>
        <v>QUÍMICA INORGÁNICA</v>
      </c>
    </row>
    <row r="549" spans="2:10" x14ac:dyDescent="0.25">
      <c r="B549" s="54" t="s">
        <v>85</v>
      </c>
      <c r="C549" s="67">
        <v>96115</v>
      </c>
      <c r="D549" s="69" t="s">
        <v>256</v>
      </c>
      <c r="E549" s="70">
        <v>3</v>
      </c>
      <c r="H549" s="107">
        <f>+Tabla1[[#This Row],[CRÉDITOS]]-G549</f>
        <v>3</v>
      </c>
      <c r="I549" t="s">
        <v>994</v>
      </c>
      <c r="J549" t="str">
        <f t="shared" si="8"/>
        <v>CÁLCULO VECTORIAL</v>
      </c>
    </row>
    <row r="550" spans="2:10" x14ac:dyDescent="0.25">
      <c r="B550" s="54" t="s">
        <v>85</v>
      </c>
      <c r="C550" s="99">
        <v>15651</v>
      </c>
      <c r="D550" s="72" t="s">
        <v>809</v>
      </c>
      <c r="E550" s="70">
        <v>2</v>
      </c>
      <c r="H550" s="107">
        <f>+Tabla1[[#This Row],[CRÉDITOS]]-G550</f>
        <v>2</v>
      </c>
      <c r="I550" t="s">
        <v>1329</v>
      </c>
      <c r="J550" t="str">
        <f t="shared" si="8"/>
        <v>LENGUA EXTRANJERA I</v>
      </c>
    </row>
    <row r="551" spans="2:10" x14ac:dyDescent="0.25">
      <c r="B551" s="54" t="s">
        <v>85</v>
      </c>
      <c r="C551" s="67">
        <v>15069</v>
      </c>
      <c r="D551" s="69" t="s">
        <v>815</v>
      </c>
      <c r="E551" s="70">
        <v>2</v>
      </c>
      <c r="H551" s="107">
        <f>+Tabla1[[#This Row],[CRÉDITOS]]-G551</f>
        <v>2</v>
      </c>
      <c r="I551" t="s">
        <v>1331</v>
      </c>
      <c r="J551" t="str">
        <f t="shared" si="8"/>
        <v>INVESTIGACIÓN EN INGENIERÍA</v>
      </c>
    </row>
    <row r="552" spans="2:10" x14ac:dyDescent="0.25">
      <c r="B552" s="54" t="s">
        <v>85</v>
      </c>
      <c r="C552" s="67">
        <v>15009</v>
      </c>
      <c r="D552" s="69" t="s">
        <v>817</v>
      </c>
      <c r="E552" s="70">
        <v>3</v>
      </c>
      <c r="H552" s="107">
        <f>+Tabla1[[#This Row],[CRÉDITOS]]-G552</f>
        <v>3</v>
      </c>
      <c r="I552" t="s">
        <v>1332</v>
      </c>
      <c r="J552" t="str">
        <f t="shared" si="8"/>
        <v>QUÍMICA ORGÁNICA</v>
      </c>
    </row>
    <row r="553" spans="2:10" x14ac:dyDescent="0.25">
      <c r="B553" s="54" t="s">
        <v>85</v>
      </c>
      <c r="C553" s="101">
        <v>15068</v>
      </c>
      <c r="D553" s="74" t="s">
        <v>245</v>
      </c>
      <c r="E553" s="73">
        <v>3</v>
      </c>
      <c r="H553" s="107">
        <f>+Tabla1[[#This Row],[CRÉDITOS]]-G553</f>
        <v>3</v>
      </c>
      <c r="I553" t="s">
        <v>987</v>
      </c>
      <c r="J553" t="str">
        <f t="shared" si="8"/>
        <v>TOPOGRAFÍA Y CARTOGRAFÍA</v>
      </c>
    </row>
    <row r="554" spans="2:10" x14ac:dyDescent="0.25">
      <c r="B554" s="54" t="s">
        <v>85</v>
      </c>
      <c r="C554" s="67">
        <v>15094</v>
      </c>
      <c r="D554" s="69" t="s">
        <v>819</v>
      </c>
      <c r="E554" s="70">
        <v>3</v>
      </c>
      <c r="H554" s="107">
        <f>+Tabla1[[#This Row],[CRÉDITOS]]-G554</f>
        <v>3</v>
      </c>
      <c r="I554" t="s">
        <v>1333</v>
      </c>
      <c r="J554" t="str">
        <f t="shared" si="8"/>
        <v>FÍSICA DE ONDAS, FLUIDOS Y CALOR</v>
      </c>
    </row>
    <row r="555" spans="2:10" x14ac:dyDescent="0.25">
      <c r="B555" s="54" t="s">
        <v>85</v>
      </c>
      <c r="C555" s="67">
        <v>96117</v>
      </c>
      <c r="D555" s="69" t="s">
        <v>261</v>
      </c>
      <c r="E555" s="70">
        <v>3</v>
      </c>
      <c r="H555" s="107">
        <f>+Tabla1[[#This Row],[CRÉDITOS]]-G555</f>
        <v>3</v>
      </c>
      <c r="I555" t="s">
        <v>998</v>
      </c>
      <c r="J555" t="str">
        <f t="shared" si="8"/>
        <v>ECUACIONES DIFERENCIALES</v>
      </c>
    </row>
    <row r="556" spans="2:10" x14ac:dyDescent="0.25">
      <c r="B556" s="54" t="s">
        <v>85</v>
      </c>
      <c r="C556" s="99">
        <v>15652</v>
      </c>
      <c r="D556" s="72" t="s">
        <v>821</v>
      </c>
      <c r="E556" s="70">
        <v>2</v>
      </c>
      <c r="H556" s="107">
        <f>+Tabla1[[#This Row],[CRÉDITOS]]-G556</f>
        <v>2</v>
      </c>
      <c r="I556" t="s">
        <v>1334</v>
      </c>
      <c r="J556" t="str">
        <f t="shared" si="8"/>
        <v>LENGUA EXTRANJERA II</v>
      </c>
    </row>
    <row r="557" spans="2:10" x14ac:dyDescent="0.25">
      <c r="B557" s="54" t="s">
        <v>85</v>
      </c>
      <c r="C557" s="67">
        <v>96303</v>
      </c>
      <c r="D557" s="69" t="s">
        <v>255</v>
      </c>
      <c r="E557" s="70">
        <v>3</v>
      </c>
      <c r="H557" s="107">
        <f>+Tabla1[[#This Row],[CRÉDITOS]]-G557</f>
        <v>3</v>
      </c>
      <c r="I557" t="s">
        <v>993</v>
      </c>
      <c r="J557" t="str">
        <f t="shared" si="8"/>
        <v>LÓGICA DE PROGRAMACIÓN</v>
      </c>
    </row>
    <row r="558" spans="2:10" x14ac:dyDescent="0.25">
      <c r="B558" s="54" t="s">
        <v>85</v>
      </c>
      <c r="C558" s="67">
        <v>15686</v>
      </c>
      <c r="D558" s="69" t="s">
        <v>824</v>
      </c>
      <c r="E558" s="70">
        <v>3</v>
      </c>
      <c r="H558" s="107">
        <f>+Tabla1[[#This Row],[CRÉDITOS]]-G558</f>
        <v>3</v>
      </c>
      <c r="I558" t="s">
        <v>1335</v>
      </c>
      <c r="J558" t="str">
        <f t="shared" si="8"/>
        <v>MECÁNICA DE FLUIDOS</v>
      </c>
    </row>
    <row r="559" spans="2:10" x14ac:dyDescent="0.25">
      <c r="B559" s="54" t="s">
        <v>85</v>
      </c>
      <c r="C559" s="67">
        <v>15026</v>
      </c>
      <c r="D559" s="69" t="s">
        <v>262</v>
      </c>
      <c r="E559" s="70">
        <v>2</v>
      </c>
      <c r="H559" s="107">
        <f>+Tabla1[[#This Row],[CRÉDITOS]]-G559</f>
        <v>2</v>
      </c>
      <c r="I559" t="s">
        <v>999</v>
      </c>
      <c r="J559" t="str">
        <f t="shared" si="8"/>
        <v>PROBABILIDAD Y ESTADÍSTICA</v>
      </c>
    </row>
    <row r="560" spans="2:10" x14ac:dyDescent="0.25">
      <c r="B560" s="54" t="s">
        <v>85</v>
      </c>
      <c r="C560" s="67">
        <v>15065</v>
      </c>
      <c r="D560" s="69" t="s">
        <v>293</v>
      </c>
      <c r="E560" s="70">
        <v>2</v>
      </c>
      <c r="H560" s="107">
        <f>+Tabla1[[#This Row],[CRÉDITOS]]-G560</f>
        <v>2</v>
      </c>
      <c r="I560" t="s">
        <v>1336</v>
      </c>
      <c r="J560" t="str">
        <f t="shared" si="8"/>
        <v>TÉCNICAS DE CAMPO</v>
      </c>
    </row>
    <row r="561" spans="2:10" x14ac:dyDescent="0.25">
      <c r="B561" s="54" t="s">
        <v>85</v>
      </c>
      <c r="C561" s="67">
        <v>15657</v>
      </c>
      <c r="D561" s="69" t="s">
        <v>827</v>
      </c>
      <c r="E561" s="70">
        <v>2</v>
      </c>
      <c r="H561" s="107">
        <f>+Tabla1[[#This Row],[CRÉDITOS]]-G561</f>
        <v>2</v>
      </c>
      <c r="I561" t="s">
        <v>1337</v>
      </c>
      <c r="J561" t="str">
        <f t="shared" si="8"/>
        <v>BALANCE DE MATERIA Y ENERGÍA</v>
      </c>
    </row>
    <row r="562" spans="2:10" x14ac:dyDescent="0.25">
      <c r="B562" s="54" t="s">
        <v>85</v>
      </c>
      <c r="C562" s="99">
        <v>15653</v>
      </c>
      <c r="D562" s="72" t="s">
        <v>829</v>
      </c>
      <c r="E562" s="70">
        <v>2</v>
      </c>
      <c r="H562" s="107">
        <f>+Tabla1[[#This Row],[CRÉDITOS]]-G562</f>
        <v>2</v>
      </c>
      <c r="I562" t="s">
        <v>1338</v>
      </c>
      <c r="J562" t="str">
        <f t="shared" si="8"/>
        <v>LENGUA EXTRANJERA III</v>
      </c>
    </row>
    <row r="563" spans="2:10" x14ac:dyDescent="0.25">
      <c r="B563" s="54" t="s">
        <v>85</v>
      </c>
      <c r="C563" s="101">
        <v>15070</v>
      </c>
      <c r="D563" s="74" t="s">
        <v>274</v>
      </c>
      <c r="E563" s="73">
        <v>3</v>
      </c>
      <c r="H563" s="107">
        <f>+Tabla1[[#This Row],[CRÉDITOS]]-G563</f>
        <v>3</v>
      </c>
      <c r="I563" t="s">
        <v>1339</v>
      </c>
      <c r="J563" t="str">
        <f t="shared" si="8"/>
        <v>GEOLOGÍA Y EDAFOLOGÍA</v>
      </c>
    </row>
    <row r="564" spans="2:10" x14ac:dyDescent="0.25">
      <c r="B564" s="54" t="s">
        <v>85</v>
      </c>
      <c r="C564" s="67">
        <v>15015</v>
      </c>
      <c r="D564" s="69" t="s">
        <v>832</v>
      </c>
      <c r="E564" s="70">
        <v>3</v>
      </c>
      <c r="H564" s="107">
        <f>+Tabla1[[#This Row],[CRÉDITOS]]-G564</f>
        <v>3</v>
      </c>
      <c r="I564" t="s">
        <v>1340</v>
      </c>
      <c r="J564" t="str">
        <f t="shared" si="8"/>
        <v>MICROBIOLOGÍA AMBIENTAL</v>
      </c>
    </row>
    <row r="565" spans="2:10" x14ac:dyDescent="0.25">
      <c r="B565" s="54" t="s">
        <v>85</v>
      </c>
      <c r="C565" s="67">
        <v>15656</v>
      </c>
      <c r="D565" s="69" t="s">
        <v>834</v>
      </c>
      <c r="E565" s="70">
        <v>3</v>
      </c>
      <c r="H565" s="107">
        <f>+Tabla1[[#This Row],[CRÉDITOS]]-G565</f>
        <v>3</v>
      </c>
      <c r="I565" t="s">
        <v>1341</v>
      </c>
      <c r="J565" t="str">
        <f t="shared" si="8"/>
        <v>RECURSOS HIDRÁULICOS</v>
      </c>
    </row>
    <row r="566" spans="2:10" x14ac:dyDescent="0.25">
      <c r="B566" s="54" t="s">
        <v>85</v>
      </c>
      <c r="C566" s="67">
        <v>15658</v>
      </c>
      <c r="D566" s="69" t="s">
        <v>160</v>
      </c>
      <c r="E566" s="70">
        <v>2</v>
      </c>
      <c r="H566" s="107">
        <f>+Tabla1[[#This Row],[CRÉDITOS]]-G566</f>
        <v>2</v>
      </c>
      <c r="I566" t="s">
        <v>945</v>
      </c>
      <c r="J566" t="str">
        <f t="shared" si="8"/>
        <v>EPISTEMOLOGÍA</v>
      </c>
    </row>
    <row r="567" spans="2:10" x14ac:dyDescent="0.25">
      <c r="B567" s="54" t="s">
        <v>85</v>
      </c>
      <c r="C567" s="67">
        <v>15064</v>
      </c>
      <c r="D567" s="69" t="s">
        <v>837</v>
      </c>
      <c r="E567" s="70">
        <v>3</v>
      </c>
      <c r="H567" s="107">
        <f>+Tabla1[[#This Row],[CRÉDITOS]]-G567</f>
        <v>3</v>
      </c>
      <c r="I567" t="s">
        <v>1342</v>
      </c>
      <c r="J567" t="str">
        <f t="shared" si="8"/>
        <v>CLIMATOLOGÍA</v>
      </c>
    </row>
    <row r="568" spans="2:10" x14ac:dyDescent="0.25">
      <c r="B568" s="54" t="s">
        <v>85</v>
      </c>
      <c r="C568" s="99">
        <v>15654</v>
      </c>
      <c r="D568" s="72" t="s">
        <v>839</v>
      </c>
      <c r="E568" s="70">
        <v>2</v>
      </c>
      <c r="H568" s="107">
        <f>+Tabla1[[#This Row],[CRÉDITOS]]-G568</f>
        <v>2</v>
      </c>
      <c r="I568" t="s">
        <v>1343</v>
      </c>
      <c r="J568" t="str">
        <f t="shared" si="8"/>
        <v>LENGUA EXTRANJERA IV</v>
      </c>
    </row>
    <row r="569" spans="2:10" ht="28.5" x14ac:dyDescent="0.25">
      <c r="B569" s="54" t="s">
        <v>85</v>
      </c>
      <c r="C569" s="67">
        <v>15017</v>
      </c>
      <c r="D569" s="69" t="s">
        <v>841</v>
      </c>
      <c r="E569" s="70">
        <v>2</v>
      </c>
      <c r="H569" s="107">
        <f>+Tabla1[[#This Row],[CRÉDITOS]]-G569</f>
        <v>2</v>
      </c>
      <c r="I569" t="s">
        <v>1344</v>
      </c>
      <c r="J569" t="str">
        <f t="shared" si="8"/>
        <v>FUNDAMENTOS DE ECONOMÍA Y ADMINISTRACIÓN</v>
      </c>
    </row>
    <row r="570" spans="2:10" x14ac:dyDescent="0.25">
      <c r="B570" s="54" t="s">
        <v>85</v>
      </c>
      <c r="C570" s="67">
        <v>15073</v>
      </c>
      <c r="D570" s="69" t="s">
        <v>634</v>
      </c>
      <c r="E570" s="70">
        <v>3</v>
      </c>
      <c r="H570" s="107">
        <f>+Tabla1[[#This Row],[CRÉDITOS]]-G570</f>
        <v>3</v>
      </c>
      <c r="I570" t="s">
        <v>1200</v>
      </c>
      <c r="J570" t="str">
        <f t="shared" si="8"/>
        <v>HIDROLOGÍA</v>
      </c>
    </row>
    <row r="571" spans="2:10" x14ac:dyDescent="0.25">
      <c r="B571" s="54" t="s">
        <v>85</v>
      </c>
      <c r="C571" s="100">
        <v>15029</v>
      </c>
      <c r="D571" s="85" t="s">
        <v>90</v>
      </c>
      <c r="E571" s="75">
        <v>2</v>
      </c>
      <c r="H571" s="107">
        <f>+Tabla1[[#This Row],[CRÉDITOS]]-G571</f>
        <v>2</v>
      </c>
      <c r="I571" t="s">
        <v>935</v>
      </c>
      <c r="J571" t="str">
        <f t="shared" si="8"/>
        <v>LEGISLACIÓN AMBIENTAL</v>
      </c>
    </row>
    <row r="572" spans="2:10" x14ac:dyDescent="0.25">
      <c r="B572" s="54" t="s">
        <v>85</v>
      </c>
      <c r="C572" s="67">
        <v>15071</v>
      </c>
      <c r="D572" s="69" t="s">
        <v>156</v>
      </c>
      <c r="E572" s="70">
        <v>3</v>
      </c>
      <c r="H572" s="107">
        <f>+Tabla1[[#This Row],[CRÉDITOS]]-G572</f>
        <v>3</v>
      </c>
      <c r="I572" t="s">
        <v>944</v>
      </c>
      <c r="J572" t="str">
        <f t="shared" si="8"/>
        <v>SISTEMAS DE INFORMACIÓN GEOGRÁFICA</v>
      </c>
    </row>
    <row r="573" spans="2:10" x14ac:dyDescent="0.25">
      <c r="B573" s="54" t="s">
        <v>85</v>
      </c>
      <c r="C573" s="67">
        <v>15674</v>
      </c>
      <c r="D573" s="69" t="s">
        <v>285</v>
      </c>
      <c r="E573" s="70">
        <v>3</v>
      </c>
      <c r="H573" s="107">
        <f>+Tabla1[[#This Row],[CRÉDITOS]]-G573</f>
        <v>3</v>
      </c>
      <c r="I573" t="s">
        <v>1345</v>
      </c>
      <c r="J573" t="str">
        <f t="shared" si="8"/>
        <v>CALIDAD DEL AIRE</v>
      </c>
    </row>
    <row r="574" spans="2:10" x14ac:dyDescent="0.25">
      <c r="B574" s="54" t="s">
        <v>85</v>
      </c>
      <c r="C574" s="67">
        <v>15048</v>
      </c>
      <c r="D574" s="69" t="s">
        <v>845</v>
      </c>
      <c r="E574" s="70">
        <v>2</v>
      </c>
      <c r="H574" s="107">
        <f>+Tabla1[[#This Row],[CRÉDITOS]]-G574</f>
        <v>2</v>
      </c>
      <c r="I574" t="s">
        <v>1346</v>
      </c>
      <c r="J574" t="str">
        <f t="shared" si="8"/>
        <v>ECONOMÍA AMBIENTAL</v>
      </c>
    </row>
    <row r="575" spans="2:10" x14ac:dyDescent="0.25">
      <c r="B575" s="54" t="s">
        <v>85</v>
      </c>
      <c r="C575" s="67">
        <v>15027</v>
      </c>
      <c r="D575" s="69" t="s">
        <v>299</v>
      </c>
      <c r="E575" s="70">
        <v>2</v>
      </c>
      <c r="H575" s="107">
        <f>+Tabla1[[#This Row],[CRÉDITOS]]-G575</f>
        <v>2</v>
      </c>
      <c r="I575" t="s">
        <v>1347</v>
      </c>
      <c r="J575" t="str">
        <f t="shared" si="8"/>
        <v>GESTIÓN DE RESIDUOS SÓLIDOS</v>
      </c>
    </row>
    <row r="576" spans="2:10" x14ac:dyDescent="0.25">
      <c r="B576" s="54" t="s">
        <v>85</v>
      </c>
      <c r="C576" s="67">
        <v>15659</v>
      </c>
      <c r="D576" s="69" t="s">
        <v>848</v>
      </c>
      <c r="E576" s="70">
        <v>3</v>
      </c>
      <c r="H576" s="107">
        <f>+Tabla1[[#This Row],[CRÉDITOS]]-G576</f>
        <v>3</v>
      </c>
      <c r="I576" t="s">
        <v>1348</v>
      </c>
      <c r="J576" t="str">
        <f t="shared" si="8"/>
        <v>POTABILIZACIÓN DE AGUA</v>
      </c>
    </row>
    <row r="577" spans="2:10" x14ac:dyDescent="0.25">
      <c r="B577" s="54" t="s">
        <v>85</v>
      </c>
      <c r="C577" s="99">
        <v>15655</v>
      </c>
      <c r="D577" s="72" t="s">
        <v>850</v>
      </c>
      <c r="E577" s="70">
        <v>2</v>
      </c>
      <c r="H577" s="107">
        <f>+Tabla1[[#This Row],[CRÉDITOS]]-G577</f>
        <v>2</v>
      </c>
      <c r="I577" t="s">
        <v>1349</v>
      </c>
      <c r="J577" t="str">
        <f t="shared" si="8"/>
        <v>LENGUA EXTRANJERA V</v>
      </c>
    </row>
    <row r="578" spans="2:10" x14ac:dyDescent="0.25">
      <c r="B578" s="54" t="s">
        <v>85</v>
      </c>
      <c r="C578" s="67">
        <v>15675</v>
      </c>
      <c r="D578" s="69" t="s">
        <v>184</v>
      </c>
      <c r="E578" s="70">
        <v>2</v>
      </c>
      <c r="H578" s="107">
        <f>+Tabla1[[#This Row],[CRÉDITOS]]-G578</f>
        <v>2</v>
      </c>
      <c r="I578" t="s">
        <v>953</v>
      </c>
      <c r="J578" t="str">
        <f t="shared" si="8"/>
        <v>CULTURA TEOLÓGICA</v>
      </c>
    </row>
    <row r="579" spans="2:10" x14ac:dyDescent="0.25">
      <c r="B579" s="54" t="s">
        <v>85</v>
      </c>
      <c r="C579" s="100">
        <v>15054</v>
      </c>
      <c r="D579" s="85" t="s">
        <v>297</v>
      </c>
      <c r="E579" s="75">
        <v>2</v>
      </c>
      <c r="H579" s="107">
        <f>+Tabla1[[#This Row],[CRÉDITOS]]-G579</f>
        <v>2</v>
      </c>
      <c r="I579" t="s">
        <v>1015</v>
      </c>
      <c r="J579" t="str">
        <f t="shared" si="8"/>
        <v>FORMULACIÓN Y EVALUACIÓN DE PROYECTOS</v>
      </c>
    </row>
    <row r="580" spans="2:10" x14ac:dyDescent="0.25">
      <c r="B580" s="54" t="s">
        <v>85</v>
      </c>
      <c r="C580" s="67">
        <v>15075</v>
      </c>
      <c r="D580" s="69" t="s">
        <v>287</v>
      </c>
      <c r="E580" s="70">
        <v>3</v>
      </c>
      <c r="H580" s="107">
        <f>+Tabla1[[#This Row],[CRÉDITOS]]-G580</f>
        <v>3</v>
      </c>
      <c r="I580" t="s">
        <v>1350</v>
      </c>
      <c r="J580" t="str">
        <f t="shared" ref="J580:J596" si="9">+UPPER(I580)</f>
        <v>GESTIÓN AMBIENTAL DE PROCESOS</v>
      </c>
    </row>
    <row r="581" spans="2:10" x14ac:dyDescent="0.25">
      <c r="B581" s="54" t="s">
        <v>85</v>
      </c>
      <c r="C581" s="67">
        <v>15051</v>
      </c>
      <c r="D581" s="69" t="s">
        <v>853</v>
      </c>
      <c r="E581" s="70">
        <v>3</v>
      </c>
      <c r="H581" s="107">
        <f>+Tabla1[[#This Row],[CRÉDITOS]]-G581</f>
        <v>3</v>
      </c>
      <c r="I581" t="s">
        <v>1351</v>
      </c>
      <c r="J581" t="str">
        <f t="shared" si="9"/>
        <v>MODELACIÓN Y SIMULACIÓN AMBIENTAL</v>
      </c>
    </row>
    <row r="582" spans="2:10" x14ac:dyDescent="0.25">
      <c r="B582" s="54" t="s">
        <v>85</v>
      </c>
      <c r="C582" s="86">
        <v>15676</v>
      </c>
      <c r="D582" s="74" t="s">
        <v>268</v>
      </c>
      <c r="E582" s="73">
        <v>3</v>
      </c>
      <c r="H582" s="107">
        <f>+Tabla1[[#This Row],[CRÉDITOS]]-G582</f>
        <v>3</v>
      </c>
      <c r="I582" t="s">
        <v>1352</v>
      </c>
      <c r="J582" t="str">
        <f t="shared" si="9"/>
        <v>ELECTIVA PROFUNDIZACIÓN I</v>
      </c>
    </row>
    <row r="583" spans="2:10" x14ac:dyDescent="0.25">
      <c r="B583" s="54" t="s">
        <v>85</v>
      </c>
      <c r="C583" s="67">
        <v>15079</v>
      </c>
      <c r="D583" s="69" t="s">
        <v>283</v>
      </c>
      <c r="E583" s="70">
        <v>3</v>
      </c>
      <c r="H583" s="107">
        <f>+Tabla1[[#This Row],[CRÉDITOS]]-G583</f>
        <v>3</v>
      </c>
      <c r="I583" t="s">
        <v>1353</v>
      </c>
      <c r="J583" t="str">
        <f t="shared" si="9"/>
        <v>TRATAMIENTO DE AGUAS RESIDUALES</v>
      </c>
    </row>
    <row r="584" spans="2:10" x14ac:dyDescent="0.25">
      <c r="B584" s="54" t="s">
        <v>85</v>
      </c>
      <c r="C584" s="67">
        <v>15052</v>
      </c>
      <c r="D584" s="69" t="s">
        <v>573</v>
      </c>
      <c r="E584" s="70">
        <v>2</v>
      </c>
      <c r="H584" s="107">
        <f>+Tabla1[[#This Row],[CRÉDITOS]]-G584</f>
        <v>2</v>
      </c>
      <c r="I584" t="s">
        <v>1169</v>
      </c>
      <c r="J584" t="str">
        <f t="shared" si="9"/>
        <v>INGENIERÍA ECONÓMICA</v>
      </c>
    </row>
    <row r="585" spans="2:10" x14ac:dyDescent="0.25">
      <c r="B585" s="54" t="s">
        <v>85</v>
      </c>
      <c r="C585" s="67">
        <v>15679</v>
      </c>
      <c r="D585" s="69" t="s">
        <v>857</v>
      </c>
      <c r="E585" s="70">
        <v>2</v>
      </c>
      <c r="H585" s="107">
        <f>+Tabla1[[#This Row],[CRÉDITOS]]-G585</f>
        <v>2</v>
      </c>
      <c r="I585" t="s">
        <v>1354</v>
      </c>
      <c r="J585" t="str">
        <f t="shared" si="9"/>
        <v>PRODUCCIÓN MÁS LIMPIA</v>
      </c>
    </row>
    <row r="586" spans="2:10" x14ac:dyDescent="0.25">
      <c r="B586" s="54" t="s">
        <v>85</v>
      </c>
      <c r="C586" s="67">
        <v>15680</v>
      </c>
      <c r="D586" s="69" t="s">
        <v>859</v>
      </c>
      <c r="E586" s="70">
        <v>3</v>
      </c>
      <c r="H586" s="107">
        <f>+Tabla1[[#This Row],[CRÉDITOS]]-G586</f>
        <v>3</v>
      </c>
      <c r="I586" t="s">
        <v>1355</v>
      </c>
      <c r="J586" t="str">
        <f t="shared" si="9"/>
        <v>ELECTIVA PROFUNDIZACIÓN II</v>
      </c>
    </row>
    <row r="587" spans="2:10" x14ac:dyDescent="0.25">
      <c r="B587" s="54" t="s">
        <v>85</v>
      </c>
      <c r="C587" s="67">
        <v>15677</v>
      </c>
      <c r="D587" s="69" t="s">
        <v>861</v>
      </c>
      <c r="E587" s="70">
        <v>2</v>
      </c>
      <c r="H587" s="107">
        <f>+Tabla1[[#This Row],[CRÉDITOS]]-G587</f>
        <v>2</v>
      </c>
      <c r="I587" t="s">
        <v>1356</v>
      </c>
      <c r="J587" t="str">
        <f t="shared" si="9"/>
        <v>SEMINARIO DE GRADO</v>
      </c>
    </row>
    <row r="588" spans="2:10" x14ac:dyDescent="0.25">
      <c r="B588" s="54" t="s">
        <v>85</v>
      </c>
      <c r="C588" s="67">
        <v>15046</v>
      </c>
      <c r="D588" s="69" t="s">
        <v>269</v>
      </c>
      <c r="E588" s="70">
        <v>2</v>
      </c>
      <c r="H588" s="107">
        <f>+Tabla1[[#This Row],[CRÉDITOS]]-G588</f>
        <v>2</v>
      </c>
      <c r="I588" t="s">
        <v>1357</v>
      </c>
      <c r="J588" t="str">
        <f t="shared" si="9"/>
        <v>SISTEMAS DE GESTIÓN AMBIENTAL</v>
      </c>
    </row>
    <row r="589" spans="2:10" x14ac:dyDescent="0.25">
      <c r="B589" s="54" t="s">
        <v>85</v>
      </c>
      <c r="C589" s="67">
        <v>15678</v>
      </c>
      <c r="D589" s="69" t="s">
        <v>202</v>
      </c>
      <c r="E589" s="70">
        <v>2</v>
      </c>
      <c r="H589" s="107">
        <f>+Tabla1[[#This Row],[CRÉDITOS]]-G589</f>
        <v>2</v>
      </c>
      <c r="I589" t="s">
        <v>961</v>
      </c>
      <c r="J589" t="str">
        <f t="shared" si="9"/>
        <v>FILOSOFÍA POLÍTICA</v>
      </c>
    </row>
    <row r="590" spans="2:10" x14ac:dyDescent="0.25">
      <c r="B590" s="54" t="s">
        <v>85</v>
      </c>
      <c r="C590" s="67">
        <v>15681</v>
      </c>
      <c r="D590" s="69" t="s">
        <v>237</v>
      </c>
      <c r="E590" s="70">
        <v>3</v>
      </c>
      <c r="H590" s="107">
        <f>+Tabla1[[#This Row],[CRÉDITOS]]-G590</f>
        <v>3</v>
      </c>
      <c r="I590" t="s">
        <v>982</v>
      </c>
      <c r="J590" t="str">
        <f t="shared" si="9"/>
        <v>CÁTEDRA OPCIONAL INSTITUCIONAL</v>
      </c>
    </row>
    <row r="591" spans="2:10" x14ac:dyDescent="0.25">
      <c r="B591" s="54" t="s">
        <v>85</v>
      </c>
      <c r="C591" s="101">
        <v>15050</v>
      </c>
      <c r="D591" s="74" t="s">
        <v>276</v>
      </c>
      <c r="E591" s="73">
        <v>2</v>
      </c>
      <c r="H591" s="107">
        <f>+Tabla1[[#This Row],[CRÉDITOS]]-G591</f>
        <v>2</v>
      </c>
      <c r="I591" t="s">
        <v>1358</v>
      </c>
      <c r="J591" t="str">
        <f t="shared" si="9"/>
        <v>IMPACTO AMBIENTAL</v>
      </c>
    </row>
    <row r="592" spans="2:10" x14ac:dyDescent="0.25">
      <c r="B592" s="54" t="s">
        <v>85</v>
      </c>
      <c r="C592" s="67">
        <v>15684</v>
      </c>
      <c r="D592" s="69" t="s">
        <v>866</v>
      </c>
      <c r="E592" s="70">
        <v>3</v>
      </c>
      <c r="H592" s="107">
        <f>+Tabla1[[#This Row],[CRÉDITOS]]-G592</f>
        <v>3</v>
      </c>
      <c r="I592" t="s">
        <v>1359</v>
      </c>
      <c r="J592" t="str">
        <f t="shared" si="9"/>
        <v>ELECTIVA PROFUNDIZACIÓN III</v>
      </c>
    </row>
    <row r="593" spans="2:10" x14ac:dyDescent="0.25">
      <c r="B593" s="54" t="s">
        <v>85</v>
      </c>
      <c r="C593" s="67">
        <v>15059</v>
      </c>
      <c r="D593" s="69" t="s">
        <v>867</v>
      </c>
      <c r="E593" s="70">
        <v>2</v>
      </c>
      <c r="H593" s="107">
        <f>+Tabla1[[#This Row],[CRÉDITOS]]-G593</f>
        <v>2</v>
      </c>
      <c r="I593" t="s">
        <v>1360</v>
      </c>
      <c r="J593" t="str">
        <f t="shared" si="9"/>
        <v>SEMINARIO DE ACTUALIZACIÓN</v>
      </c>
    </row>
    <row r="594" spans="2:10" x14ac:dyDescent="0.25">
      <c r="B594" s="54" t="s">
        <v>85</v>
      </c>
      <c r="C594" s="67">
        <v>15682</v>
      </c>
      <c r="D594" s="69" t="s">
        <v>307</v>
      </c>
      <c r="E594" s="70">
        <v>3</v>
      </c>
      <c r="H594" s="107">
        <f>+Tabla1[[#This Row],[CRÉDITOS]]-G594</f>
        <v>3</v>
      </c>
      <c r="I594" t="s">
        <v>1019</v>
      </c>
      <c r="J594" t="str">
        <f t="shared" si="9"/>
        <v>OPCIÓN DE GRADO</v>
      </c>
    </row>
    <row r="595" spans="2:10" x14ac:dyDescent="0.25">
      <c r="B595" s="54" t="s">
        <v>85</v>
      </c>
      <c r="C595" s="67">
        <v>15683</v>
      </c>
      <c r="D595" s="69" t="s">
        <v>214</v>
      </c>
      <c r="E595" s="70">
        <v>2</v>
      </c>
      <c r="H595" s="107">
        <f>+Tabla1[[#This Row],[CRÉDITOS]]-G595</f>
        <v>2</v>
      </c>
      <c r="I595" t="s">
        <v>969</v>
      </c>
      <c r="J595" t="str">
        <f t="shared" si="9"/>
        <v>ÉTICA</v>
      </c>
    </row>
    <row r="596" spans="2:10" x14ac:dyDescent="0.25">
      <c r="B596" s="54" t="s">
        <v>85</v>
      </c>
      <c r="C596" s="67">
        <v>15685</v>
      </c>
      <c r="D596" s="69" t="s">
        <v>295</v>
      </c>
      <c r="E596" s="70">
        <v>3</v>
      </c>
      <c r="H596" s="107">
        <f>+Tabla1[[#This Row],[CRÉDITOS]]-G596</f>
        <v>3</v>
      </c>
      <c r="I596" t="s">
        <v>1014</v>
      </c>
      <c r="J596" t="str">
        <f t="shared" si="9"/>
        <v>CÁTEDRA OPCIONAL COMPLEMENTARIA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F288-E551-4963-9E5C-56F272930514}">
  <dimension ref="A1:AX44"/>
  <sheetViews>
    <sheetView showGridLines="0" zoomScale="85" zoomScaleNormal="85" zoomScaleSheetLayoutView="85" workbookViewId="0">
      <selection activeCell="AW11" sqref="AW11"/>
    </sheetView>
  </sheetViews>
  <sheetFormatPr baseColWidth="10" defaultColWidth="0" defaultRowHeight="21" customHeight="1" zeroHeight="1" x14ac:dyDescent="0.25"/>
  <cols>
    <col min="1" max="2" width="3.85546875" customWidth="1"/>
    <col min="3" max="4" width="1.42578125" customWidth="1"/>
    <col min="5" max="40" width="3.85546875" customWidth="1"/>
    <col min="41" max="42" width="1.42578125" customWidth="1"/>
    <col min="43" max="50" width="3.85546875" customWidth="1"/>
    <col min="51" max="16384" width="3.85546875" hidden="1"/>
  </cols>
  <sheetData>
    <row r="1" spans="4:41" ht="21" customHeight="1" x14ac:dyDescent="0.25"/>
    <row r="2" spans="4:41" ht="8.1" customHeight="1" x14ac:dyDescent="0.25"/>
    <row r="3" spans="4:41" ht="21" customHeight="1" x14ac:dyDescent="0.25"/>
    <row r="4" spans="4:41" ht="21" customHeight="1" x14ac:dyDescent="0.25"/>
    <row r="5" spans="4:41" ht="21" customHeight="1" x14ac:dyDescent="0.25"/>
    <row r="6" spans="4:41" ht="21" customHeight="1" x14ac:dyDescent="0.25"/>
    <row r="7" spans="4:41" ht="21" customHeight="1" x14ac:dyDescent="0.25"/>
    <row r="8" spans="4:41" ht="8.1" customHeight="1" x14ac:dyDescent="0.25"/>
    <row r="9" spans="4:41" ht="8.1" customHeight="1" x14ac:dyDescent="0.25">
      <c r="D9" s="23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5"/>
    </row>
    <row r="10" spans="4:41" ht="21" customHeight="1" x14ac:dyDescent="0.25">
      <c r="D10" s="26"/>
      <c r="E10" s="174" t="s">
        <v>2</v>
      </c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6"/>
      <c r="U10" s="27"/>
      <c r="V10" s="27"/>
      <c r="W10" s="22"/>
      <c r="X10" s="22"/>
      <c r="Y10" s="174" t="s">
        <v>3</v>
      </c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6"/>
      <c r="AO10" s="28"/>
    </row>
    <row r="11" spans="4:41" ht="12.6" customHeight="1" x14ac:dyDescent="0.25">
      <c r="D11" s="26"/>
      <c r="E11" s="37"/>
      <c r="F11" s="177" t="s">
        <v>5</v>
      </c>
      <c r="G11" s="177"/>
      <c r="H11" s="177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38"/>
      <c r="W11" s="22"/>
      <c r="X11" s="22"/>
      <c r="Y11" s="37"/>
      <c r="Z11" s="177" t="s">
        <v>5</v>
      </c>
      <c r="AA11" s="177"/>
      <c r="AB11" s="177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38"/>
      <c r="AO11" s="28"/>
    </row>
    <row r="12" spans="4:41" ht="12.6" customHeight="1" x14ac:dyDescent="0.25">
      <c r="D12" s="26"/>
      <c r="E12" s="29"/>
      <c r="F12" s="146"/>
      <c r="G12" s="146"/>
      <c r="H12" s="146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31"/>
      <c r="W12" s="22"/>
      <c r="X12" s="22"/>
      <c r="Y12" s="29"/>
      <c r="Z12" s="146"/>
      <c r="AA12" s="146"/>
      <c r="AB12" s="146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31"/>
      <c r="AO12" s="28"/>
    </row>
    <row r="13" spans="4:41" ht="12.6" customHeight="1" x14ac:dyDescent="0.25">
      <c r="D13" s="26"/>
      <c r="E13" s="29"/>
      <c r="F13" s="146"/>
      <c r="G13" s="146"/>
      <c r="H13" s="146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31"/>
      <c r="W13" s="22"/>
      <c r="X13" s="22"/>
      <c r="Y13" s="29"/>
      <c r="Z13" s="146"/>
      <c r="AA13" s="146"/>
      <c r="AB13" s="146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31"/>
      <c r="AO13" s="28"/>
    </row>
    <row r="14" spans="4:41" ht="12.6" customHeight="1" x14ac:dyDescent="0.25">
      <c r="D14" s="26"/>
      <c r="E14" s="29"/>
      <c r="F14" s="146" t="s">
        <v>8</v>
      </c>
      <c r="G14" s="146"/>
      <c r="H14" s="146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31"/>
      <c r="W14" s="22"/>
      <c r="X14" s="22"/>
      <c r="Y14" s="29"/>
      <c r="Z14" s="146" t="s">
        <v>8</v>
      </c>
      <c r="AA14" s="146"/>
      <c r="AB14" s="146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31"/>
      <c r="AO14" s="28"/>
    </row>
    <row r="15" spans="4:41" ht="8.1" customHeight="1" x14ac:dyDescent="0.25">
      <c r="D15" s="26"/>
      <c r="E15" s="29"/>
      <c r="T15" s="31"/>
      <c r="W15" s="22"/>
      <c r="X15" s="22"/>
      <c r="Y15" s="29"/>
      <c r="AN15" s="31"/>
      <c r="AO15" s="28"/>
    </row>
    <row r="16" spans="4:41" ht="21" customHeight="1" x14ac:dyDescent="0.25">
      <c r="D16" s="26"/>
      <c r="E16" s="29"/>
      <c r="F16" s="22"/>
      <c r="G16" s="30"/>
      <c r="H16" s="30"/>
      <c r="I16" s="30"/>
      <c r="J16" s="30"/>
      <c r="K16" s="30"/>
      <c r="L16" s="30"/>
      <c r="M16" s="30"/>
      <c r="N16" s="136" t="s">
        <v>11</v>
      </c>
      <c r="O16" s="137"/>
      <c r="P16" s="136" t="s">
        <v>12</v>
      </c>
      <c r="Q16" s="137"/>
      <c r="R16" s="136" t="s">
        <v>13</v>
      </c>
      <c r="S16" s="137"/>
      <c r="T16" s="32"/>
      <c r="U16" s="33"/>
      <c r="V16" s="33"/>
      <c r="W16" s="22"/>
      <c r="X16" s="22"/>
      <c r="Y16" s="29"/>
      <c r="Z16" s="22"/>
      <c r="AA16" s="30"/>
      <c r="AB16" s="30"/>
      <c r="AC16" s="30"/>
      <c r="AD16" s="30"/>
      <c r="AE16" s="30"/>
      <c r="AF16" s="30"/>
      <c r="AG16" s="30"/>
      <c r="AH16" s="136" t="s">
        <v>11</v>
      </c>
      <c r="AI16" s="137"/>
      <c r="AJ16" s="136" t="s">
        <v>12</v>
      </c>
      <c r="AK16" s="137"/>
      <c r="AL16" s="136" t="s">
        <v>13</v>
      </c>
      <c r="AM16" s="137"/>
      <c r="AN16" s="32"/>
      <c r="AO16" s="28"/>
    </row>
    <row r="17" spans="4:41" ht="21" customHeight="1" x14ac:dyDescent="0.25">
      <c r="D17" s="26"/>
      <c r="E17" s="29"/>
      <c r="F17" s="143" t="s">
        <v>14</v>
      </c>
      <c r="G17" s="143"/>
      <c r="H17" s="143"/>
      <c r="I17" s="143"/>
      <c r="J17" s="143"/>
      <c r="K17" s="143"/>
      <c r="L17" s="143"/>
      <c r="M17" s="144"/>
      <c r="N17" s="166"/>
      <c r="O17" s="167"/>
      <c r="P17" s="166"/>
      <c r="Q17" s="167"/>
      <c r="R17" s="166"/>
      <c r="S17" s="167"/>
      <c r="T17" s="31"/>
      <c r="W17" s="22"/>
      <c r="X17" s="22"/>
      <c r="Y17" s="29"/>
      <c r="Z17" s="143" t="s">
        <v>14</v>
      </c>
      <c r="AA17" s="143"/>
      <c r="AB17" s="143"/>
      <c r="AC17" s="143"/>
      <c r="AD17" s="143"/>
      <c r="AE17" s="143"/>
      <c r="AF17" s="143"/>
      <c r="AG17" s="144"/>
      <c r="AH17" s="166"/>
      <c r="AI17" s="167"/>
      <c r="AJ17" s="166"/>
      <c r="AK17" s="167"/>
      <c r="AL17" s="166"/>
      <c r="AM17" s="167"/>
      <c r="AN17" s="31"/>
      <c r="AO17" s="28"/>
    </row>
    <row r="18" spans="4:41" ht="8.1" customHeight="1" x14ac:dyDescent="0.25">
      <c r="D18" s="26"/>
      <c r="E18" s="34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6"/>
      <c r="U18" s="22"/>
      <c r="V18" s="22"/>
      <c r="W18" s="22"/>
      <c r="X18" s="22"/>
      <c r="Y18" s="34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6"/>
      <c r="AO18" s="28"/>
    </row>
    <row r="19" spans="4:41" ht="8.1" customHeight="1" x14ac:dyDescent="0.25">
      <c r="D19" s="34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6"/>
    </row>
    <row r="20" spans="4:41" ht="8.1" customHeight="1" x14ac:dyDescent="0.25"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</row>
    <row r="21" spans="4:41" ht="8.1" customHeight="1" x14ac:dyDescent="0.25"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5"/>
    </row>
    <row r="22" spans="4:41" ht="21" customHeight="1" x14ac:dyDescent="0.25">
      <c r="D22" s="26"/>
      <c r="E22" s="168" t="s">
        <v>16</v>
      </c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70"/>
      <c r="AO22" s="39"/>
    </row>
    <row r="23" spans="4:41" ht="8.1" customHeight="1" x14ac:dyDescent="0.25">
      <c r="D23" s="26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8"/>
    </row>
    <row r="24" spans="4:41" ht="21" customHeight="1" x14ac:dyDescent="0.25">
      <c r="D24" s="26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28"/>
    </row>
    <row r="25" spans="4:41" ht="21" customHeight="1" x14ac:dyDescent="0.25">
      <c r="D25" s="26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28"/>
    </row>
    <row r="26" spans="4:41" ht="21" customHeight="1" x14ac:dyDescent="0.25">
      <c r="D26" s="26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28"/>
    </row>
    <row r="27" spans="4:41" ht="21" customHeight="1" x14ac:dyDescent="0.25">
      <c r="D27" s="26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28"/>
    </row>
    <row r="28" spans="4:41" ht="21" customHeight="1" x14ac:dyDescent="0.25">
      <c r="D28" s="26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28"/>
    </row>
    <row r="29" spans="4:41" ht="21" customHeight="1" x14ac:dyDescent="0.25">
      <c r="D29" s="26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28"/>
    </row>
    <row r="30" spans="4:41" ht="21" customHeight="1" x14ac:dyDescent="0.25">
      <c r="D30" s="26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28"/>
    </row>
    <row r="31" spans="4:41" ht="21" customHeight="1" x14ac:dyDescent="0.25">
      <c r="D31" s="26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28"/>
    </row>
    <row r="32" spans="4:41" ht="21" customHeight="1" x14ac:dyDescent="0.25">
      <c r="D32" s="26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28"/>
    </row>
    <row r="33" spans="4:41" ht="21" customHeight="1" x14ac:dyDescent="0.25">
      <c r="D33" s="26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28"/>
    </row>
    <row r="34" spans="4:41" ht="21" customHeight="1" x14ac:dyDescent="0.25">
      <c r="D34" s="26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28"/>
    </row>
    <row r="35" spans="4:41" ht="21" customHeight="1" x14ac:dyDescent="0.25">
      <c r="D35" s="26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28"/>
    </row>
    <row r="36" spans="4:41" ht="8.1" customHeight="1" x14ac:dyDescent="0.25">
      <c r="D36" s="34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6"/>
    </row>
    <row r="37" spans="4:41" ht="8.1" customHeight="1" x14ac:dyDescent="0.25"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</row>
    <row r="38" spans="4:41" ht="21" customHeight="1" x14ac:dyDescent="0.25">
      <c r="D38" s="171" t="s">
        <v>1361</v>
      </c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</row>
    <row r="39" spans="4:41" ht="21" customHeight="1" x14ac:dyDescent="0.25"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</row>
    <row r="40" spans="4:41" ht="8.1" customHeight="1" x14ac:dyDescent="0.25"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</row>
    <row r="41" spans="4:41" ht="21" customHeight="1" x14ac:dyDescent="0.25">
      <c r="D41" s="148" t="s">
        <v>28</v>
      </c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</row>
    <row r="42" spans="4:41" ht="21" customHeight="1" x14ac:dyDescent="0.25"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</row>
    <row r="43" spans="4:41" ht="21" customHeight="1" x14ac:dyDescent="0.25"/>
    <row r="44" spans="4:41" ht="21" customHeight="1" x14ac:dyDescent="0.25"/>
  </sheetData>
  <mergeCells count="30">
    <mergeCell ref="E10:T10"/>
    <mergeCell ref="Y10:AN10"/>
    <mergeCell ref="F11:H12"/>
    <mergeCell ref="Z11:AB12"/>
    <mergeCell ref="I11:S12"/>
    <mergeCell ref="AC11:AM12"/>
    <mergeCell ref="AL16:AM16"/>
    <mergeCell ref="F13:H13"/>
    <mergeCell ref="Z13:AB13"/>
    <mergeCell ref="F14:H14"/>
    <mergeCell ref="Z14:AB14"/>
    <mergeCell ref="I13:S14"/>
    <mergeCell ref="AC13:AM14"/>
    <mergeCell ref="N16:O16"/>
    <mergeCell ref="P16:Q16"/>
    <mergeCell ref="R16:S16"/>
    <mergeCell ref="AH16:AI16"/>
    <mergeCell ref="AJ16:AK16"/>
    <mergeCell ref="D41:AO42"/>
    <mergeCell ref="N17:O17"/>
    <mergeCell ref="P17:Q17"/>
    <mergeCell ref="R17:S17"/>
    <mergeCell ref="AH17:AI17"/>
    <mergeCell ref="AJ17:AK17"/>
    <mergeCell ref="AL17:AM17"/>
    <mergeCell ref="F17:M17"/>
    <mergeCell ref="Z17:AG17"/>
    <mergeCell ref="E22:AN22"/>
    <mergeCell ref="E24:AN35"/>
    <mergeCell ref="D38:AO39"/>
  </mergeCells>
  <pageMargins left="0.7" right="0.7" top="0.75" bottom="0.75" header="0.3" footer="0.3"/>
  <pageSetup scale="6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DA010773CCBC4289C3BEE0E6E22B23" ma:contentTypeVersion="14" ma:contentTypeDescription="Crear nuevo documento." ma:contentTypeScope="" ma:versionID="d450e485adb28383d1363378a15cc0b5">
  <xsd:schema xmlns:xsd="http://www.w3.org/2001/XMLSchema" xmlns:xs="http://www.w3.org/2001/XMLSchema" xmlns:p="http://schemas.microsoft.com/office/2006/metadata/properties" xmlns:ns3="d0b3f8e5-e8f6-43a9-8a46-42e98d61d6d9" xmlns:ns4="05ddfe4f-e5ba-4896-90e5-d147960d41f9" targetNamespace="http://schemas.microsoft.com/office/2006/metadata/properties" ma:root="true" ma:fieldsID="af952dda8812320c2acaa8ee09e8fff7" ns3:_="" ns4:_="">
    <xsd:import namespace="d0b3f8e5-e8f6-43a9-8a46-42e98d61d6d9"/>
    <xsd:import namespace="05ddfe4f-e5ba-4896-90e5-d147960d41f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3f8e5-e8f6-43a9-8a46-42e98d61d6d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dfe4f-e5ba-4896-90e5-d147960d41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ddfe4f-e5ba-4896-90e5-d147960d41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3C14DE-EFB4-4432-99DF-6AA366287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3f8e5-e8f6-43a9-8a46-42e98d61d6d9"/>
    <ds:schemaRef ds:uri="05ddfe4f-e5ba-4896-90e5-d147960d41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488E11-78BB-4179-BC5C-8FDAB4E60645}">
  <ds:schemaRefs>
    <ds:schemaRef ds:uri="05ddfe4f-e5ba-4896-90e5-d147960d41f9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d0b3f8e5-e8f6-43a9-8a46-42e98d61d6d9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3892168-D972-43CD-9F4E-8BD064F69F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Plantilla General Homolog.</vt:lpstr>
      <vt:lpstr>Datos</vt:lpstr>
      <vt:lpstr>Hoja1 (2)</vt:lpstr>
      <vt:lpstr>ft2</vt:lpstr>
      <vt:lpstr>'ft2'!Área_de_impresión</vt:lpstr>
      <vt:lpstr>'Plantilla General Homolog.'!Área_de_impresión</vt:lpstr>
      <vt:lpstr>'Plantilla General Homolog.'!Títulos_a_imprimir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JULIÁN ALBA</dc:creator>
  <cp:keywords/>
  <dc:description/>
  <cp:lastModifiedBy>Andres Julian Alba Gualteros.</cp:lastModifiedBy>
  <cp:revision/>
  <cp:lastPrinted>2024-12-03T17:18:49Z</cp:lastPrinted>
  <dcterms:created xsi:type="dcterms:W3CDTF">2024-09-21T00:13:31Z</dcterms:created>
  <dcterms:modified xsi:type="dcterms:W3CDTF">2026-03-17T15:17:20Z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0x010100D7DA010773CCBC4289C3BEE0E6E22B23</vt:lpwstr>
  </property>
</Properties>
</file>